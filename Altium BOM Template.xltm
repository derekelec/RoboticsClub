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75" windowWidth="15165" windowHeight="8820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K15" i="1" l="1"/>
  <c r="K16" i="1"/>
  <c r="K14" i="1"/>
  <c r="F15" i="1" l="1"/>
  <c r="F16" i="1"/>
  <c r="F14" i="1"/>
  <c r="U17" i="1"/>
  <c r="P17" i="1"/>
  <c r="C8" i="1"/>
  <c r="B8" i="1"/>
  <c r="K17" i="1" l="1"/>
  <c r="F17" i="1"/>
</calcChain>
</file>

<file path=xl/sharedStrings.xml><?xml version="1.0" encoding="utf-8"?>
<sst xmlns="http://schemas.openxmlformats.org/spreadsheetml/2006/main" count="44" uniqueCount="42">
  <si>
    <t>Approved</t>
  </si>
  <si>
    <t>Notes</t>
  </si>
  <si>
    <t>Creation Date:</t>
  </si>
  <si>
    <t>Print Date:</t>
  </si>
  <si>
    <t>Column=Description</t>
  </si>
  <si>
    <t>Column=Quantity</t>
  </si>
  <si>
    <t>Source Data From:</t>
  </si>
  <si>
    <t>Variant:</t>
  </si>
  <si>
    <t>Column=Designator</t>
  </si>
  <si>
    <t>Project:</t>
  </si>
  <si>
    <t>Bill of Materials</t>
  </si>
  <si>
    <t>Production Quantity:</t>
  </si>
  <si>
    <t>Column=Supplier 1</t>
  </si>
  <si>
    <t>Currency</t>
  </si>
  <si>
    <t>Supplier 2 Subtotal</t>
  </si>
  <si>
    <t>Supplier Unit Price 2</t>
  </si>
  <si>
    <t>Field=ProductionQuantity</t>
  </si>
  <si>
    <t>Field=Currency</t>
  </si>
  <si>
    <t>Field=DataSourceFileName</t>
  </si>
  <si>
    <t>Field=ProjectFileName</t>
  </si>
  <si>
    <t>Field=VariantName</t>
  </si>
  <si>
    <t>Field=ReportDate</t>
  </si>
  <si>
    <t>Field=ReportTime</t>
  </si>
  <si>
    <t>Column=Supplier 2</t>
  </si>
  <si>
    <t>Column=Supplier Part Number 2</t>
  </si>
  <si>
    <t>Column=Pricing 2</t>
  </si>
  <si>
    <t>Assem Unit Price 2</t>
  </si>
  <si>
    <t>Assem Subtotal</t>
  </si>
  <si>
    <t>Column=Assem</t>
  </si>
  <si>
    <t>Column=Assem Part Num</t>
  </si>
  <si>
    <t>Column=Assem Pricing</t>
  </si>
  <si>
    <t>Column=Manufacturer 1</t>
  </si>
  <si>
    <t>Column=QuantityMultiplier</t>
  </si>
  <si>
    <t>Start of helper columns</t>
  </si>
  <si>
    <t>Quantity</t>
  </si>
  <si>
    <t>Column=Comment</t>
  </si>
  <si>
    <t>Field=Comment</t>
  </si>
  <si>
    <t>Column=Footprint</t>
  </si>
  <si>
    <t>Column=Libref</t>
  </si>
  <si>
    <t>Column=Total</t>
  </si>
  <si>
    <t>Column=Supplier Unit Price 1</t>
  </si>
  <si>
    <t>Column=Manufacturer Part Number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</si>
</sst>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[$-C09]dd\-mmm\-yy;@"/>
    <numFmt numFmtId="166" formatCode="[$-409]h:mm:ss\ AM/PM;@"/>
    <numFmt numFmtId="167" formatCode="_(&quot;$&quot;* #,##0.000_);_(&quot;$&quot;* \(#,##0.00\);_(&quot;$&quot;* &quot;-&quot;??_);_(@_)"/>
  </numFmts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2"/>
      </bottom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2"/>
      </left>
      <right/>
      <top/>
      <bottom style="medium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2"/>
      </top>
      <bottom/>
      <diagonal/>
    </border>
    <border>
      <left/>
      <right/>
      <top style="medium">
        <color indexed="62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 applyAlignment="1"/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3" borderId="3" xfId="0" applyFill="1" applyBorder="1" applyAlignment="1"/>
    <xf numFmtId="0" fontId="2" fillId="0" borderId="1" xfId="0" applyFont="1" applyBorder="1" applyAlignment="1"/>
    <xf numFmtId="0" fontId="4" fillId="0" borderId="1" xfId="0" applyFont="1" applyBorder="1" applyAlignment="1"/>
    <xf numFmtId="0" fontId="4" fillId="0" borderId="0" xfId="0" applyFont="1" applyBorder="1" applyAlignment="1"/>
    <xf numFmtId="165" fontId="0" fillId="0" borderId="4" xfId="0" applyNumberFormat="1" applyBorder="1" applyAlignment="1">
      <alignment horizontal="left"/>
    </xf>
    <xf numFmtId="166" fontId="0" fillId="0" borderId="4" xfId="0" applyNumberFormat="1" applyBorder="1" applyAlignment="1">
      <alignment horizontal="left"/>
    </xf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7" fillId="2" borderId="5" xfId="0" applyNumberFormat="1" applyFont="1" applyFill="1" applyBorder="1" applyAlignment="1" applyProtection="1">
      <alignment vertical="top" wrapText="1"/>
      <protection locked="0"/>
    </xf>
    <xf numFmtId="0" fontId="1" fillId="2" borderId="6" xfId="0" applyNumberFormat="1" applyFont="1" applyFill="1" applyBorder="1" applyAlignment="1" applyProtection="1">
      <alignment horizontal="left" vertical="top" wrapText="1"/>
      <protection locked="0"/>
    </xf>
    <xf numFmtId="0" fontId="7" fillId="2" borderId="6" xfId="0" applyNumberFormat="1" applyFont="1" applyFill="1" applyBorder="1" applyAlignment="1" applyProtection="1">
      <alignment vertical="top" wrapText="1"/>
      <protection locked="0"/>
    </xf>
    <xf numFmtId="0" fontId="1" fillId="2" borderId="7" xfId="0" applyNumberFormat="1" applyFont="1" applyFill="1" applyBorder="1" applyAlignment="1" applyProtection="1">
      <alignment vertical="top" wrapText="1"/>
      <protection locked="0"/>
    </xf>
    <xf numFmtId="0" fontId="1" fillId="2" borderId="2" xfId="0" applyNumberFormat="1" applyFont="1" applyFill="1" applyBorder="1" applyAlignment="1" applyProtection="1">
      <alignment horizontal="left" vertical="top" wrapText="1"/>
      <protection locked="0"/>
    </xf>
    <xf numFmtId="0" fontId="7" fillId="2" borderId="2" xfId="0" applyNumberFormat="1" applyFont="1" applyFill="1" applyBorder="1" applyAlignment="1" applyProtection="1">
      <alignment vertical="top" wrapText="1"/>
      <protection locked="0"/>
    </xf>
    <xf numFmtId="0" fontId="0" fillId="0" borderId="8" xfId="0" applyBorder="1" applyAlignment="1">
      <alignment horizontal="left"/>
    </xf>
    <xf numFmtId="0" fontId="0" fillId="0" borderId="2" xfId="0" applyBorder="1" applyAlignment="1">
      <alignment horizontal="left"/>
    </xf>
    <xf numFmtId="49" fontId="0" fillId="0" borderId="4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5" fillId="0" borderId="1" xfId="0" applyFont="1" applyBorder="1" applyAlignment="1">
      <alignment horizontal="left" vertical="top"/>
    </xf>
    <xf numFmtId="0" fontId="3" fillId="4" borderId="9" xfId="0" applyFont="1" applyFill="1" applyBorder="1" applyAlignment="1">
      <alignment vertical="center"/>
    </xf>
    <xf numFmtId="0" fontId="3" fillId="4" borderId="9" xfId="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vertical="top"/>
      <protection locked="0"/>
    </xf>
    <xf numFmtId="0" fontId="1" fillId="0" borderId="10" xfId="0" applyNumberFormat="1" applyFont="1" applyFill="1" applyBorder="1" applyAlignment="1" applyProtection="1">
      <alignment horizontal="left" vertical="top"/>
      <protection locked="0"/>
    </xf>
    <xf numFmtId="0" fontId="1" fillId="0" borderId="11" xfId="0" applyNumberFormat="1" applyFont="1" applyFill="1" applyBorder="1" applyAlignment="1" applyProtection="1">
      <alignment horizontal="left" vertical="top"/>
      <protection locked="0"/>
    </xf>
    <xf numFmtId="0" fontId="1" fillId="0" borderId="11" xfId="0" applyNumberFormat="1" applyFont="1" applyFill="1" applyBorder="1" applyAlignment="1" applyProtection="1">
      <alignment vertical="top"/>
      <protection locked="0"/>
    </xf>
    <xf numFmtId="0" fontId="0" fillId="3" borderId="12" xfId="0" applyFill="1" applyBorder="1" applyAlignment="1"/>
    <xf numFmtId="0" fontId="0" fillId="3" borderId="13" xfId="0" applyFill="1" applyBorder="1" applyAlignment="1">
      <alignment horizontal="left"/>
    </xf>
    <xf numFmtId="0" fontId="0" fillId="3" borderId="6" xfId="0" applyFill="1" applyBorder="1" applyAlignment="1"/>
    <xf numFmtId="0" fontId="6" fillId="0" borderId="1" xfId="0" applyNumberFormat="1" applyFont="1" applyFill="1" applyBorder="1" applyAlignment="1" applyProtection="1">
      <alignment vertical="top"/>
      <protection locked="0"/>
    </xf>
    <xf numFmtId="0" fontId="1" fillId="0" borderId="1" xfId="0" applyNumberFormat="1" applyFont="1" applyFill="1" applyBorder="1" applyAlignment="1" applyProtection="1">
      <alignment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1" fillId="0" borderId="5" xfId="0" applyNumberFormat="1" applyFont="1" applyFill="1" applyBorder="1" applyAlignment="1" applyProtection="1">
      <alignment vertical="top"/>
      <protection locked="0"/>
    </xf>
    <xf numFmtId="0" fontId="1" fillId="0" borderId="14" xfId="0" applyNumberFormat="1" applyFont="1" applyFill="1" applyBorder="1" applyAlignment="1" applyProtection="1">
      <alignment horizontal="left" vertical="top"/>
      <protection locked="0"/>
    </xf>
    <xf numFmtId="0" fontId="1" fillId="0" borderId="15" xfId="0" applyNumberFormat="1" applyFont="1" applyFill="1" applyBorder="1" applyAlignment="1" applyProtection="1">
      <alignment horizontal="left" vertical="top"/>
      <protection locked="0"/>
    </xf>
    <xf numFmtId="0" fontId="1" fillId="0" borderId="15" xfId="0" applyNumberFormat="1" applyFont="1" applyFill="1" applyBorder="1" applyAlignment="1" applyProtection="1">
      <alignment vertical="top"/>
      <protection locked="0"/>
    </xf>
    <xf numFmtId="0" fontId="1" fillId="0" borderId="16" xfId="0" applyNumberFormat="1" applyFont="1" applyFill="1" applyBorder="1" applyAlignment="1" applyProtection="1">
      <alignment horizontal="left" vertical="top"/>
      <protection locked="0"/>
    </xf>
    <xf numFmtId="0" fontId="1" fillId="0" borderId="17" xfId="0" applyNumberFormat="1" applyFont="1" applyFill="1" applyBorder="1" applyAlignment="1" applyProtection="1">
      <alignment horizontal="left" vertical="top"/>
      <protection locked="0"/>
    </xf>
    <xf numFmtId="0" fontId="1" fillId="0" borderId="17" xfId="0" applyNumberFormat="1" applyFont="1" applyFill="1" applyBorder="1" applyAlignment="1" applyProtection="1">
      <alignment vertical="top"/>
      <protection locked="0"/>
    </xf>
    <xf numFmtId="0" fontId="2" fillId="0" borderId="7" xfId="0" applyFont="1" applyBorder="1" applyAlignment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/>
    <xf numFmtId="0" fontId="2" fillId="0" borderId="0" xfId="0" applyFont="1" applyBorder="1" applyAlignment="1"/>
    <xf numFmtId="0" fontId="0" fillId="0" borderId="4" xfId="0" applyBorder="1" applyAlignment="1"/>
    <xf numFmtId="0" fontId="6" fillId="0" borderId="0" xfId="0" applyNumberFormat="1" applyFont="1" applyFill="1" applyBorder="1" applyAlignment="1" applyProtection="1">
      <alignment horizontal="left"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vertical="top"/>
    </xf>
    <xf numFmtId="0" fontId="1" fillId="0" borderId="6" xfId="0" applyNumberFormat="1" applyFont="1" applyFill="1" applyBorder="1" applyAlignment="1" applyProtection="1">
      <alignment vertical="top"/>
      <protection locked="0"/>
    </xf>
    <xf numFmtId="0" fontId="0" fillId="0" borderId="0" xfId="0" applyBorder="1" applyAlignment="1">
      <alignment vertical="top"/>
    </xf>
    <xf numFmtId="0" fontId="0" fillId="5" borderId="0" xfId="0" applyFill="1" applyBorder="1" applyAlignment="1"/>
    <xf numFmtId="0" fontId="5" fillId="5" borderId="0" xfId="0" applyFont="1" applyFill="1" applyBorder="1" applyAlignment="1">
      <alignment vertical="top"/>
    </xf>
    <xf numFmtId="0" fontId="6" fillId="0" borderId="2" xfId="0" applyNumberFormat="1" applyFont="1" applyFill="1" applyBorder="1" applyAlignment="1" applyProtection="1">
      <alignment vertical="top"/>
      <protection locked="0"/>
    </xf>
    <xf numFmtId="0" fontId="5" fillId="5" borderId="18" xfId="0" applyNumberFormat="1" applyFont="1" applyFill="1" applyBorder="1" applyAlignment="1">
      <alignment vertical="top"/>
    </xf>
    <xf numFmtId="0" fontId="0" fillId="5" borderId="19" xfId="0" applyNumberFormat="1" applyFill="1" applyBorder="1" applyAlignment="1">
      <alignment vertical="top"/>
    </xf>
    <xf numFmtId="0" fontId="3" fillId="6" borderId="19" xfId="0" applyFont="1" applyFill="1" applyBorder="1" applyAlignment="1">
      <alignment vertical="center"/>
    </xf>
    <xf numFmtId="164" fontId="0" fillId="7" borderId="19" xfId="0" applyNumberFormat="1" applyFill="1" applyBorder="1" applyAlignment="1">
      <alignment vertical="top"/>
    </xf>
    <xf numFmtId="0" fontId="1" fillId="0" borderId="20" xfId="0" applyNumberFormat="1" applyFont="1" applyFill="1" applyBorder="1" applyAlignment="1" applyProtection="1">
      <alignment vertical="top"/>
      <protection locked="0"/>
    </xf>
    <xf numFmtId="0" fontId="1" fillId="0" borderId="21" xfId="0" applyNumberFormat="1" applyFont="1" applyFill="1" applyBorder="1" applyAlignment="1" applyProtection="1">
      <alignment vertical="top"/>
      <protection locked="0"/>
    </xf>
    <xf numFmtId="0" fontId="1" fillId="0" borderId="22" xfId="0" applyNumberFormat="1" applyFont="1" applyFill="1" applyBorder="1" applyAlignment="1" applyProtection="1">
      <alignment vertical="top"/>
      <protection locked="0"/>
    </xf>
    <xf numFmtId="0" fontId="0" fillId="3" borderId="0" xfId="0" applyFill="1" applyBorder="1" applyAlignment="1"/>
    <xf numFmtId="0" fontId="0" fillId="0" borderId="6" xfId="0" applyBorder="1" applyAlignment="1"/>
    <xf numFmtId="0" fontId="6" fillId="0" borderId="22" xfId="0" applyNumberFormat="1" applyFont="1" applyFill="1" applyBorder="1" applyAlignment="1" applyProtection="1">
      <alignment vertical="top"/>
      <protection locked="0"/>
    </xf>
    <xf numFmtId="164" fontId="5" fillId="5" borderId="18" xfId="1" applyFont="1" applyFill="1" applyBorder="1" applyAlignment="1">
      <alignment vertical="top"/>
    </xf>
    <xf numFmtId="0" fontId="0" fillId="5" borderId="6" xfId="0" applyFill="1" applyBorder="1" applyAlignment="1">
      <alignment vertical="top"/>
    </xf>
    <xf numFmtId="164" fontId="10" fillId="5" borderId="6" xfId="1" applyFont="1" applyFill="1" applyBorder="1" applyAlignment="1">
      <alignment vertical="top"/>
    </xf>
    <xf numFmtId="0" fontId="0" fillId="5" borderId="20" xfId="0" applyFill="1" applyBorder="1" applyAlignment="1">
      <alignment vertical="top"/>
    </xf>
    <xf numFmtId="164" fontId="5" fillId="5" borderId="1" xfId="1" applyFont="1" applyFill="1" applyBorder="1" applyAlignment="1">
      <alignment vertical="top"/>
    </xf>
    <xf numFmtId="167" fontId="5" fillId="5" borderId="1" xfId="0" applyNumberFormat="1" applyFont="1" applyFill="1" applyBorder="1" applyAlignment="1">
      <alignment vertical="top"/>
    </xf>
    <xf numFmtId="167" fontId="5" fillId="7" borderId="19" xfId="0" applyNumberFormat="1" applyFont="1" applyFill="1" applyBorder="1" applyAlignment="1">
      <alignment vertical="top"/>
    </xf>
    <xf numFmtId="0" fontId="5" fillId="7" borderId="18" xfId="0" applyNumberFormat="1" applyFont="1" applyFill="1" applyBorder="1" applyAlignment="1">
      <alignment vertical="top"/>
    </xf>
    <xf numFmtId="49" fontId="5" fillId="0" borderId="4" xfId="0" quotePrefix="1" applyNumberFormat="1" applyFont="1" applyBorder="1" applyAlignment="1">
      <alignment horizontal="left"/>
    </xf>
    <xf numFmtId="0" fontId="9" fillId="3" borderId="23" xfId="0" quotePrefix="1" applyFont="1" applyFill="1" applyBorder="1" applyAlignment="1">
      <alignment vertical="center"/>
    </xf>
    <xf numFmtId="0" fontId="2" fillId="0" borderId="0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3" fillId="6" borderId="24" xfId="0" applyFont="1" applyFill="1" applyBorder="1" applyAlignment="1">
      <alignment vertical="center"/>
    </xf>
    <xf numFmtId="0" fontId="5" fillId="0" borderId="18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5" borderId="1" xfId="0" applyFont="1" applyFill="1" applyBorder="1" applyAlignment="1">
      <alignment horizontal="left" vertical="top"/>
    </xf>
    <xf numFmtId="0" fontId="5" fillId="5" borderId="18" xfId="0" applyFont="1" applyFill="1" applyBorder="1" applyAlignment="1">
      <alignment vertical="top"/>
    </xf>
    <xf numFmtId="164" fontId="5" fillId="5" borderId="18" xfId="0" applyNumberFormat="1" applyFont="1" applyFill="1" applyBorder="1" applyAlignment="1">
      <alignment vertical="top"/>
    </xf>
    <xf numFmtId="0" fontId="0" fillId="5" borderId="2" xfId="0" applyFill="1" applyBorder="1" applyAlignment="1"/>
    <xf numFmtId="14" fontId="0" fillId="0" borderId="5" xfId="0" applyNumberFormat="1" applyBorder="1" applyAlignment="1">
      <alignment vertical="top"/>
    </xf>
    <xf numFmtId="0" fontId="3" fillId="6" borderId="9" xfId="0" applyFont="1" applyFill="1" applyBorder="1" applyAlignment="1">
      <alignment vertical="center"/>
    </xf>
    <xf numFmtId="164" fontId="5" fillId="5" borderId="0" xfId="0" applyNumberFormat="1" applyFont="1" applyFill="1" applyBorder="1" applyAlignment="1">
      <alignment vertical="top"/>
    </xf>
    <xf numFmtId="0" fontId="5" fillId="5" borderId="26" xfId="0" applyFont="1" applyFill="1" applyBorder="1" applyAlignment="1">
      <alignment vertical="top"/>
    </xf>
    <xf numFmtId="0" fontId="5" fillId="5" borderId="25" xfId="0" applyFont="1" applyFill="1" applyBorder="1" applyAlignment="1">
      <alignment vertical="top"/>
    </xf>
    <xf numFmtId="0" fontId="1" fillId="5" borderId="1" xfId="0" applyFont="1" applyFill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8" fillId="0" borderId="27" xfId="0" applyFont="1" applyBorder="1" applyAlignment="1">
      <alignment vertical="center"/>
    </xf>
    <xf numFmtId="0" fontId="0" fillId="0" borderId="28" xfId="0" applyBorder="1" applyAlignme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161925</xdr:rowOff>
        </xdr:from>
        <xdr:to>
          <xdr:col>5</xdr:col>
          <xdr:colOff>371475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3</xdr:row>
          <xdr:rowOff>200025</xdr:rowOff>
        </xdr:from>
        <xdr:to>
          <xdr:col>5</xdr:col>
          <xdr:colOff>933450</xdr:colOff>
          <xdr:row>4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Resize Rows/Shade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8</xdr:row>
          <xdr:rowOff>57150</xdr:rowOff>
        </xdr:from>
        <xdr:to>
          <xdr:col>5</xdr:col>
          <xdr:colOff>752475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Unhide/Hide Supplier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9</xdr:row>
          <xdr:rowOff>133350</xdr:rowOff>
        </xdr:from>
        <xdr:to>
          <xdr:col>5</xdr:col>
          <xdr:colOff>723900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Unhide/Hide Assem Manf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6</xdr:row>
          <xdr:rowOff>114300</xdr:rowOff>
        </xdr:from>
        <xdr:to>
          <xdr:col>5</xdr:col>
          <xdr:colOff>714375</xdr:colOff>
          <xdr:row>7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Unhide/Hide Supplier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6</xdr:row>
          <xdr:rowOff>133350</xdr:rowOff>
        </xdr:from>
        <xdr:to>
          <xdr:col>4</xdr:col>
          <xdr:colOff>9525</xdr:colOff>
          <xdr:row>7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Unhide/Hide Helper Info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26"/>
  <sheetViews>
    <sheetView showGridLines="0" tabSelected="1" topLeftCell="D1" zoomScale="70" zoomScaleNormal="70" workbookViewId="0">
      <selection activeCell="W15" sqref="W15"/>
    </sheetView>
  </sheetViews>
  <sheetFormatPr defaultRowHeight="12.75" x14ac:dyDescent="0.2"/>
  <cols>
    <col min="1" max="1" width="16.28515625" style="4" customWidth="1"/>
    <col min="2" max="2" width="22.42578125" style="12" bestFit="1" customWidth="1"/>
    <col min="3" max="3" width="26.5703125" style="12" customWidth="1"/>
    <col min="4" max="4" width="30.5703125" style="4" customWidth="1"/>
    <col min="5" max="5" width="36.42578125" style="4" bestFit="1" customWidth="1"/>
    <col min="6" max="6" width="17.7109375" style="57" bestFit="1" customWidth="1"/>
    <col min="7" max="7" width="27.5703125" style="4" customWidth="1"/>
    <col min="8" max="8" width="15.42578125" style="4" customWidth="1"/>
    <col min="9" max="9" width="19.140625" style="4" bestFit="1" customWidth="1"/>
    <col min="10" max="10" width="29.28515625" style="4" bestFit="1" customWidth="1"/>
    <col min="11" max="11" width="17.42578125" style="4" customWidth="1"/>
    <col min="12" max="12" width="28.42578125" style="4" hidden="1" customWidth="1"/>
    <col min="13" max="13" width="15.85546875" style="4" hidden="1" customWidth="1"/>
    <col min="14" max="14" width="17.7109375" style="4" hidden="1" customWidth="1"/>
    <col min="15" max="15" width="16.42578125" style="4" hidden="1" customWidth="1"/>
    <col min="16" max="16" width="18.7109375" style="4" hidden="1" customWidth="1"/>
    <col min="17" max="17" width="17" style="4" hidden="1" customWidth="1"/>
    <col min="18" max="21" width="9.140625" style="4" hidden="1" customWidth="1"/>
    <col min="22" max="16384" width="9.140625" style="4"/>
  </cols>
  <sheetData>
    <row r="1" spans="1:24" ht="13.5" thickBot="1" x14ac:dyDescent="0.25">
      <c r="A1" s="34"/>
      <c r="B1" s="35"/>
      <c r="C1" s="35"/>
      <c r="D1" s="36"/>
      <c r="E1" s="36"/>
      <c r="F1" s="68"/>
      <c r="G1" s="36"/>
      <c r="H1" s="36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24" ht="37.5" customHeight="1" thickBot="1" x14ac:dyDescent="0.25">
      <c r="A2" s="97" t="s">
        <v>10</v>
      </c>
      <c r="B2" s="98"/>
      <c r="C2" s="19"/>
      <c r="D2" s="80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1:24" ht="23.25" customHeight="1" x14ac:dyDescent="0.2">
      <c r="A3" s="6" t="s">
        <v>6</v>
      </c>
      <c r="B3" s="22"/>
      <c r="C3" s="81" t="s">
        <v>18</v>
      </c>
      <c r="D3" s="50"/>
      <c r="E3" s="3"/>
      <c r="F3" s="3"/>
      <c r="G3" s="3"/>
      <c r="H3" s="3"/>
      <c r="I3" s="3"/>
      <c r="J3" s="58"/>
      <c r="K3" s="58"/>
      <c r="L3" s="58"/>
      <c r="M3" s="58"/>
      <c r="N3" s="58"/>
      <c r="O3" s="58"/>
      <c r="P3" s="57"/>
    </row>
    <row r="4" spans="1:24" ht="17.25" customHeight="1" x14ac:dyDescent="0.2">
      <c r="A4" s="6" t="s">
        <v>9</v>
      </c>
      <c r="B4" s="22"/>
      <c r="C4" s="82" t="s">
        <v>19</v>
      </c>
      <c r="D4" s="51"/>
      <c r="E4" s="3"/>
      <c r="F4" s="3"/>
      <c r="G4" s="3"/>
      <c r="H4" s="3"/>
      <c r="I4" s="3"/>
      <c r="J4" s="58"/>
      <c r="K4" s="58"/>
      <c r="L4" s="58"/>
      <c r="M4" s="58"/>
      <c r="N4" s="58"/>
      <c r="O4" s="58"/>
      <c r="P4" s="57"/>
    </row>
    <row r="5" spans="1:24" ht="17.25" customHeight="1" x14ac:dyDescent="0.2">
      <c r="A5" s="6" t="s">
        <v>7</v>
      </c>
      <c r="B5" s="22"/>
      <c r="C5" s="48" t="s">
        <v>20</v>
      </c>
      <c r="D5" s="2"/>
      <c r="E5" s="3"/>
      <c r="F5" s="3"/>
      <c r="G5" s="3"/>
      <c r="H5" s="3"/>
      <c r="I5" s="3"/>
      <c r="J5" s="58"/>
      <c r="K5" s="58"/>
      <c r="L5" s="58"/>
      <c r="M5" s="58"/>
      <c r="N5" s="58"/>
      <c r="O5" s="58"/>
      <c r="P5" s="57"/>
    </row>
    <row r="6" spans="1:24" x14ac:dyDescent="0.2">
      <c r="A6" s="47"/>
      <c r="B6" s="48"/>
      <c r="C6" s="20"/>
      <c r="D6" s="2"/>
      <c r="E6" s="49"/>
      <c r="F6" s="3"/>
      <c r="G6" s="49"/>
      <c r="H6" s="49"/>
      <c r="I6" s="50"/>
      <c r="J6" s="50"/>
      <c r="K6" s="50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4" ht="15.75" customHeight="1" x14ac:dyDescent="0.2">
      <c r="A7" s="7" t="s">
        <v>2</v>
      </c>
      <c r="B7" s="20" t="s">
        <v>21</v>
      </c>
      <c r="C7" s="20" t="s">
        <v>22</v>
      </c>
      <c r="D7" s="8"/>
      <c r="E7" s="3"/>
      <c r="F7" s="69"/>
      <c r="G7" s="3"/>
      <c r="H7" s="3"/>
      <c r="I7" s="69"/>
      <c r="J7" s="69"/>
      <c r="K7" s="69"/>
      <c r="L7" s="58"/>
      <c r="M7" s="58"/>
      <c r="N7" s="58"/>
      <c r="O7" s="58"/>
    </row>
    <row r="8" spans="1:24" ht="15.75" customHeight="1" x14ac:dyDescent="0.2">
      <c r="A8" s="1" t="s">
        <v>3</v>
      </c>
      <c r="B8" s="9">
        <f ca="1">TODAY()</f>
        <v>42564</v>
      </c>
      <c r="C8" s="10">
        <f ca="1">NOW()</f>
        <v>42564.509984259261</v>
      </c>
      <c r="D8" s="8"/>
      <c r="E8" s="3"/>
      <c r="F8" s="3"/>
      <c r="G8" s="3"/>
      <c r="H8" s="3"/>
      <c r="I8" s="3"/>
      <c r="J8" s="58"/>
      <c r="K8" s="58"/>
      <c r="L8" s="58"/>
      <c r="M8" s="58"/>
      <c r="N8" s="58"/>
      <c r="O8" s="58"/>
    </row>
    <row r="9" spans="1:24" ht="15.75" customHeight="1" x14ac:dyDescent="0.2">
      <c r="A9" s="7"/>
      <c r="B9" s="21"/>
      <c r="C9" s="21"/>
      <c r="D9" s="8"/>
      <c r="E9" s="3"/>
      <c r="F9" s="3"/>
      <c r="G9" s="3"/>
      <c r="H9" s="3"/>
      <c r="I9" s="3"/>
      <c r="J9" s="58"/>
      <c r="K9" s="58"/>
      <c r="L9" s="58"/>
      <c r="M9" s="58"/>
      <c r="N9" s="58"/>
      <c r="O9" s="58"/>
    </row>
    <row r="10" spans="1:24" ht="15.75" customHeight="1" x14ac:dyDescent="0.2">
      <c r="A10" s="7" t="s">
        <v>11</v>
      </c>
      <c r="B10" s="79" t="s">
        <v>16</v>
      </c>
      <c r="C10" s="21"/>
      <c r="D10" s="8"/>
      <c r="E10" s="3"/>
      <c r="F10" s="3"/>
      <c r="G10" s="3"/>
      <c r="H10" s="3"/>
      <c r="I10" s="3"/>
      <c r="J10" s="58"/>
      <c r="K10" s="58"/>
      <c r="L10" s="58"/>
      <c r="M10" s="58"/>
      <c r="N10" s="58"/>
      <c r="O10" s="58"/>
    </row>
    <row r="11" spans="1:24" ht="15.75" customHeight="1" x14ac:dyDescent="0.2">
      <c r="A11" s="7" t="s">
        <v>13</v>
      </c>
      <c r="B11" s="21" t="s">
        <v>17</v>
      </c>
      <c r="C11" s="21"/>
      <c r="D11" s="8"/>
      <c r="E11" s="3"/>
      <c r="F11" s="3"/>
      <c r="G11" s="3"/>
      <c r="H11" s="3"/>
      <c r="I11" s="3"/>
      <c r="J11" s="58"/>
      <c r="K11" s="58"/>
      <c r="L11" s="58"/>
      <c r="M11" s="58"/>
      <c r="N11" s="58"/>
      <c r="O11" s="58"/>
    </row>
    <row r="12" spans="1:24" ht="15.75" customHeight="1" x14ac:dyDescent="0.2">
      <c r="A12" s="1"/>
      <c r="B12" s="22"/>
      <c r="C12" s="22"/>
      <c r="D12" s="3"/>
      <c r="E12" s="3"/>
      <c r="F12" s="3"/>
      <c r="G12" s="3"/>
      <c r="H12" s="3"/>
      <c r="I12" s="3"/>
      <c r="J12" s="58"/>
      <c r="K12" s="89"/>
      <c r="L12" s="58"/>
      <c r="M12" s="58"/>
      <c r="N12" s="58"/>
      <c r="O12" s="58"/>
      <c r="W12" s="4" t="s">
        <v>33</v>
      </c>
    </row>
    <row r="13" spans="1:24" s="26" customFormat="1" ht="19.5" customHeight="1" x14ac:dyDescent="0.2">
      <c r="A13" s="63" t="s">
        <v>35</v>
      </c>
      <c r="B13" s="24" t="s">
        <v>4</v>
      </c>
      <c r="C13" s="25" t="s">
        <v>8</v>
      </c>
      <c r="D13" s="25" t="s">
        <v>37</v>
      </c>
      <c r="E13" s="63" t="s">
        <v>38</v>
      </c>
      <c r="F13" s="63" t="s">
        <v>34</v>
      </c>
      <c r="G13" s="24" t="s">
        <v>31</v>
      </c>
      <c r="H13" s="63" t="s">
        <v>41</v>
      </c>
      <c r="I13" s="63" t="s">
        <v>12</v>
      </c>
      <c r="J13" s="63" t="s">
        <v>40</v>
      </c>
      <c r="K13" s="63" t="s">
        <v>39</v>
      </c>
      <c r="L13" s="83" t="s">
        <v>23</v>
      </c>
      <c r="M13" s="63" t="s">
        <v>24</v>
      </c>
      <c r="N13" s="63" t="s">
        <v>25</v>
      </c>
      <c r="O13" s="91" t="s">
        <v>15</v>
      </c>
      <c r="P13" s="63" t="s">
        <v>14</v>
      </c>
      <c r="Q13" s="83" t="s">
        <v>28</v>
      </c>
      <c r="R13" s="63" t="s">
        <v>29</v>
      </c>
      <c r="S13" s="63" t="s">
        <v>30</v>
      </c>
      <c r="T13" s="91" t="s">
        <v>26</v>
      </c>
      <c r="U13" s="63" t="s">
        <v>27</v>
      </c>
      <c r="W13" s="26" t="s">
        <v>5</v>
      </c>
      <c r="X13" s="26" t="s">
        <v>32</v>
      </c>
    </row>
    <row r="14" spans="1:24" s="11" customFormat="1" ht="16.5" customHeight="1" x14ac:dyDescent="0.2">
      <c r="A14" s="95" t="s">
        <v>36</v>
      </c>
      <c r="B14" s="86"/>
      <c r="C14" s="86"/>
      <c r="D14" s="86"/>
      <c r="E14" s="86"/>
      <c r="F14" s="61">
        <f>IF(X14&lt;&gt;"", W14*X14, W14)</f>
        <v>0</v>
      </c>
      <c r="G14" s="86"/>
      <c r="H14" s="87"/>
      <c r="I14" s="61"/>
      <c r="K14" s="88">
        <f>F14*J14</f>
        <v>0</v>
      </c>
      <c r="L14" s="93"/>
      <c r="M14" s="71"/>
      <c r="N14" s="75"/>
      <c r="O14" s="76"/>
      <c r="P14" s="78"/>
      <c r="Q14" s="59"/>
      <c r="R14" s="71"/>
      <c r="S14" s="75"/>
      <c r="T14" s="76"/>
      <c r="U14" s="78"/>
    </row>
    <row r="15" spans="1:24" s="11" customFormat="1" ht="16.5" customHeight="1" x14ac:dyDescent="0.2">
      <c r="A15" s="96" t="s">
        <v>36</v>
      </c>
      <c r="B15" s="23"/>
      <c r="C15" s="23"/>
      <c r="D15" s="23"/>
      <c r="E15" s="23"/>
      <c r="F15" s="61">
        <f>IF(X15&lt;&gt;"", W15*X15, W15)</f>
        <v>0</v>
      </c>
      <c r="G15" s="23"/>
      <c r="H15" s="84"/>
      <c r="I15" s="61"/>
      <c r="J15" s="92"/>
      <c r="K15" s="88">
        <f t="shared" ref="K15:K16" si="0">F15*J15</f>
        <v>0</v>
      </c>
      <c r="L15" s="87"/>
      <c r="M15" s="71"/>
      <c r="N15" s="75"/>
      <c r="O15" s="76"/>
      <c r="P15" s="78"/>
      <c r="Q15" s="59"/>
      <c r="R15" s="71"/>
      <c r="S15" s="75"/>
      <c r="T15" s="76"/>
      <c r="U15" s="78"/>
    </row>
    <row r="16" spans="1:24" s="11" customFormat="1" ht="16.5" customHeight="1" x14ac:dyDescent="0.2">
      <c r="A16" s="96" t="s">
        <v>36</v>
      </c>
      <c r="B16" s="23"/>
      <c r="C16" s="23"/>
      <c r="D16" s="23"/>
      <c r="E16" s="23"/>
      <c r="F16" s="61">
        <f>IF(X16&lt;&gt;"", W16*X16, W16)</f>
        <v>0</v>
      </c>
      <c r="G16" s="23"/>
      <c r="H16" s="85"/>
      <c r="I16" s="61"/>
      <c r="J16" s="92"/>
      <c r="K16" s="88">
        <f t="shared" si="0"/>
        <v>0</v>
      </c>
      <c r="L16" s="94"/>
      <c r="M16" s="71"/>
      <c r="N16" s="75"/>
      <c r="O16" s="76"/>
      <c r="P16" s="78"/>
      <c r="Q16" s="59"/>
      <c r="R16" s="71"/>
      <c r="S16" s="75"/>
      <c r="T16" s="76"/>
      <c r="U16" s="78"/>
    </row>
    <row r="17" spans="1:21" x14ac:dyDescent="0.2">
      <c r="A17" s="90"/>
      <c r="B17" s="54"/>
      <c r="C17" s="54"/>
      <c r="D17" s="55"/>
      <c r="E17" s="55"/>
      <c r="F17" s="62">
        <f>SUM(F14:F16)</f>
        <v>0</v>
      </c>
      <c r="G17" s="55"/>
      <c r="H17" s="55"/>
      <c r="I17" s="62"/>
      <c r="J17" s="72"/>
      <c r="K17" s="64">
        <f>SUM(K14:K16)</f>
        <v>0</v>
      </c>
      <c r="L17" s="72"/>
      <c r="M17" s="73"/>
      <c r="N17" s="73"/>
      <c r="O17" s="74"/>
      <c r="P17" s="77">
        <f>SUM(P14:P16)</f>
        <v>0</v>
      </c>
      <c r="Q17" s="72"/>
      <c r="R17" s="73"/>
      <c r="S17" s="73"/>
      <c r="T17" s="74"/>
      <c r="U17" s="77">
        <f>SUM(U14:U16)</f>
        <v>0</v>
      </c>
    </row>
    <row r="18" spans="1:21" customFormat="1" ht="13.7" customHeight="1" x14ac:dyDescent="0.2">
      <c r="A18" s="37" t="s">
        <v>0</v>
      </c>
      <c r="B18" s="28"/>
      <c r="C18" s="52" t="s">
        <v>1</v>
      </c>
      <c r="D18" s="28"/>
      <c r="E18" s="53"/>
      <c r="F18" s="30"/>
      <c r="G18" s="53"/>
      <c r="H18" s="53"/>
      <c r="I18" s="60"/>
      <c r="J18" s="60"/>
      <c r="K18" s="60"/>
      <c r="L18" s="60"/>
      <c r="M18" s="60"/>
      <c r="N18" s="60"/>
      <c r="O18" s="70"/>
    </row>
    <row r="19" spans="1:21" customFormat="1" ht="12.95" customHeight="1" x14ac:dyDescent="0.2">
      <c r="A19" s="40"/>
      <c r="B19" s="41"/>
      <c r="C19" s="42"/>
      <c r="D19" s="41"/>
      <c r="E19" s="43"/>
      <c r="F19" s="27"/>
      <c r="G19" s="56"/>
      <c r="H19" s="56"/>
      <c r="I19" s="27"/>
      <c r="J19" s="27"/>
      <c r="K19" s="27"/>
      <c r="L19" s="27"/>
      <c r="M19" s="27"/>
      <c r="N19" s="27"/>
      <c r="O19" s="66"/>
    </row>
    <row r="20" spans="1:21" customFormat="1" ht="12.95" customHeight="1" x14ac:dyDescent="0.2">
      <c r="A20" s="38"/>
      <c r="B20" s="31"/>
      <c r="C20" s="32"/>
      <c r="D20" s="31"/>
      <c r="E20" s="33"/>
      <c r="F20" s="27"/>
      <c r="G20" s="27"/>
      <c r="H20" s="27"/>
      <c r="I20" s="27"/>
      <c r="J20" s="27"/>
      <c r="K20" s="27"/>
      <c r="L20" s="27"/>
      <c r="M20" s="27"/>
      <c r="N20" s="27"/>
      <c r="O20" s="66"/>
    </row>
    <row r="21" spans="1:21" customFormat="1" ht="12.95" customHeight="1" x14ac:dyDescent="0.2">
      <c r="A21" s="38"/>
      <c r="B21" s="31"/>
      <c r="C21" s="32"/>
      <c r="D21" s="31"/>
      <c r="E21" s="33"/>
      <c r="F21" s="27"/>
      <c r="G21" s="27"/>
      <c r="H21" s="27"/>
      <c r="I21" s="27"/>
      <c r="J21" s="27"/>
      <c r="K21" s="27"/>
      <c r="L21" s="27"/>
      <c r="M21" s="27"/>
      <c r="N21" s="27"/>
      <c r="O21" s="66"/>
    </row>
    <row r="22" spans="1:21" customFormat="1" ht="12.95" customHeight="1" x14ac:dyDescent="0.2">
      <c r="A22" s="38"/>
      <c r="B22" s="31"/>
      <c r="C22" s="32"/>
      <c r="D22" s="31"/>
      <c r="E22" s="33"/>
      <c r="F22" s="27"/>
      <c r="G22" s="27"/>
      <c r="H22" s="27"/>
      <c r="I22" s="27"/>
      <c r="J22" s="27"/>
      <c r="K22" s="27"/>
      <c r="L22" s="27"/>
      <c r="M22" s="27"/>
      <c r="N22" s="27"/>
      <c r="O22" s="66"/>
    </row>
    <row r="23" spans="1:21" customFormat="1" ht="9.75" customHeight="1" x14ac:dyDescent="0.2">
      <c r="A23" s="39"/>
      <c r="B23" s="44"/>
      <c r="C23" s="45"/>
      <c r="D23" s="44"/>
      <c r="E23" s="46"/>
      <c r="F23" s="30"/>
      <c r="G23" s="30"/>
      <c r="H23" s="30"/>
      <c r="I23" s="30"/>
      <c r="J23" s="27"/>
      <c r="K23" s="27"/>
      <c r="L23" s="30"/>
      <c r="M23" s="30"/>
      <c r="N23" s="30"/>
      <c r="O23" s="67"/>
    </row>
    <row r="24" spans="1:21" customFormat="1" ht="12.95" customHeight="1" x14ac:dyDescent="0.2">
      <c r="A24" s="39"/>
      <c r="B24" s="29"/>
      <c r="C24" s="29"/>
      <c r="D24" s="29"/>
      <c r="E24" s="30"/>
      <c r="F24" s="27"/>
      <c r="G24" s="30"/>
      <c r="H24" s="30"/>
      <c r="I24" s="56"/>
      <c r="J24" s="56"/>
      <c r="K24" s="56"/>
      <c r="L24" s="56"/>
      <c r="M24" s="56"/>
      <c r="N24" s="56"/>
      <c r="O24" s="65"/>
    </row>
    <row r="25" spans="1:21" customFormat="1" ht="12.95" customHeight="1" x14ac:dyDescent="0.2">
      <c r="A25" s="13"/>
      <c r="B25" s="14"/>
      <c r="C25" s="14"/>
      <c r="D25" s="14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1:21" customFormat="1" ht="12.95" customHeight="1" x14ac:dyDescent="0.2">
      <c r="A26" s="16"/>
      <c r="B26" s="17"/>
      <c r="C26" s="17"/>
      <c r="D26" s="17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</sheetData>
  <mergeCells count="1">
    <mergeCell ref="A2:B2"/>
  </mergeCells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ulatePricing">
                <anchor moveWithCells="1" sizeWithCells="1">
                  <from>
                    <xdr:col>4</xdr:col>
                    <xdr:colOff>285750</xdr:colOff>
                    <xdr:row>2</xdr:row>
                    <xdr:rowOff>161925</xdr:rowOff>
                  </from>
                  <to>
                    <xdr:col>5</xdr:col>
                    <xdr:colOff>371475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ResizeRows">
                <anchor moveWithCells="1" sizeWithCells="1">
                  <from>
                    <xdr:col>4</xdr:col>
                    <xdr:colOff>285750</xdr:colOff>
                    <xdr:row>3</xdr:row>
                    <xdr:rowOff>200025</xdr:rowOff>
                  </from>
                  <to>
                    <xdr:col>5</xdr:col>
                    <xdr:colOff>933450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ToggleHideSupplier2" altText="Test">
                <anchor moveWithCells="1" sizeWithCells="1">
                  <from>
                    <xdr:col>4</xdr:col>
                    <xdr:colOff>190500</xdr:colOff>
                    <xdr:row>8</xdr:row>
                    <xdr:rowOff>57150</xdr:rowOff>
                  </from>
                  <to>
                    <xdr:col>5</xdr:col>
                    <xdr:colOff>752475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1.ToggleHideAssemManf" altText="Test">
                <anchor moveWithCells="1" sizeWithCells="1">
                  <from>
                    <xdr:col>4</xdr:col>
                    <xdr:colOff>219075</xdr:colOff>
                    <xdr:row>9</xdr:row>
                    <xdr:rowOff>133350</xdr:rowOff>
                  </from>
                  <to>
                    <xdr:col>5</xdr:col>
                    <xdr:colOff>723900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ToggleHideSupplier1" altText="Test">
                <anchor moveWithCells="1" sizeWithCells="1">
                  <from>
                    <xdr:col>4</xdr:col>
                    <xdr:colOff>190500</xdr:colOff>
                    <xdr:row>6</xdr:row>
                    <xdr:rowOff>114300</xdr:rowOff>
                  </from>
                  <to>
                    <xdr:col>5</xdr:col>
                    <xdr:colOff>714375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Sheet1.ToggleHelperInfo" altText="Test">
                <anchor moveWithCells="1" sizeWithCells="1">
                  <from>
                    <xdr:col>3</xdr:col>
                    <xdr:colOff>428625</xdr:colOff>
                    <xdr:row>6</xdr:row>
                    <xdr:rowOff>133350</xdr:rowOff>
                  </from>
                  <to>
                    <xdr:col>4</xdr:col>
                    <xdr:colOff>9525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 pc</dc:creator>
  <cp:lastModifiedBy>mat pc</cp:lastModifiedBy>
  <cp:lastPrinted>2002-11-05T13:50:54Z</cp:lastPrinted>
  <dcterms:created xsi:type="dcterms:W3CDTF">2000-10-27T00:30:29Z</dcterms:created>
  <dcterms:modified xsi:type="dcterms:W3CDTF">2016-07-13T19:14:25Z</dcterms:modified>
</cp:coreProperties>
</file>