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30" yWindow="75" windowWidth="15165" windowHeight="8820"/>
  </bookViews>
  <sheets>
    <sheet name="Sheet1" sheetId="1" r:id="rId1"/>
  </sheets>
  <functionGroups builtInGroupCount="17"/>
  <calcPr calcId="145621"/>
</workbook>
</file>

<file path=xl/calcChain.xml><?xml version="1.0" encoding="utf-8"?>
<calcChain xmlns="http://schemas.openxmlformats.org/spreadsheetml/2006/main">
  <c r="H34" i="1" l="1"/>
  <c r="O34" i="1" s="1"/>
  <c r="H33" i="1"/>
  <c r="O33" i="1" s="1"/>
  <c r="H32" i="1"/>
  <c r="O32" i="1" s="1"/>
  <c r="O35" i="1" l="1"/>
  <c r="H35" i="1"/>
  <c r="H17" i="1"/>
  <c r="O17" i="1" s="1"/>
  <c r="H18" i="1"/>
  <c r="O18" i="1" s="1"/>
  <c r="H16" i="1"/>
  <c r="O16" i="1" s="1"/>
  <c r="Y19" i="1"/>
  <c r="T19" i="1"/>
  <c r="E9" i="1"/>
  <c r="D9" i="1"/>
  <c r="O19" i="1" l="1"/>
  <c r="J3" i="1" s="1"/>
  <c r="J6" i="1" s="1"/>
  <c r="H19" i="1"/>
</calcChain>
</file>

<file path=xl/sharedStrings.xml><?xml version="1.0" encoding="utf-8"?>
<sst xmlns="http://schemas.openxmlformats.org/spreadsheetml/2006/main" count="72" uniqueCount="66">
  <si>
    <t>Approved</t>
  </si>
  <si>
    <t>Notes</t>
  </si>
  <si>
    <t>Creation Date:</t>
  </si>
  <si>
    <t>Print Date:</t>
  </si>
  <si>
    <t>Column=Description</t>
  </si>
  <si>
    <t>Column=Quantity</t>
  </si>
  <si>
    <t>Source Data From:</t>
  </si>
  <si>
    <t>Variant:</t>
  </si>
  <si>
    <t>Column=Designator</t>
  </si>
  <si>
    <t>Project:</t>
  </si>
  <si>
    <t>Bill of Materials</t>
  </si>
  <si>
    <t>Production Quantity:</t>
  </si>
  <si>
    <t>Column=Supplier 1</t>
  </si>
  <si>
    <t>Currency</t>
  </si>
  <si>
    <t>Supplier 2 Subtotal</t>
  </si>
  <si>
    <t>Supplier Unit Price 2</t>
  </si>
  <si>
    <t>Field=ProductionQuantity</t>
  </si>
  <si>
    <t>Field=Currency</t>
  </si>
  <si>
    <t>Field=DataSourceFileName</t>
  </si>
  <si>
    <t>Field=ProjectFileName</t>
  </si>
  <si>
    <t>Field=VariantName</t>
  </si>
  <si>
    <t>Field=ReportDate</t>
  </si>
  <si>
    <t>Field=ReportTime</t>
  </si>
  <si>
    <t>Column=Supplier 2</t>
  </si>
  <si>
    <t>Column=Supplier Part Number 2</t>
  </si>
  <si>
    <t>Column=Pricing 2</t>
  </si>
  <si>
    <t>Assem Unit Price 2</t>
  </si>
  <si>
    <t>Assem Subtotal</t>
  </si>
  <si>
    <t>Column=Assem</t>
  </si>
  <si>
    <t>Column=Assem Part Num</t>
  </si>
  <si>
    <t>Column=Assem Pricing</t>
  </si>
  <si>
    <t>Column=Manufacturer 1</t>
  </si>
  <si>
    <t>Column=QuantityMultiplier</t>
  </si>
  <si>
    <t>Start of helper columns</t>
  </si>
  <si>
    <t>Quantity</t>
  </si>
  <si>
    <t>Column=Comment</t>
  </si>
  <si>
    <t>Field=Comment</t>
  </si>
  <si>
    <t>Column=Footprint</t>
  </si>
  <si>
    <t>Column=Libref</t>
  </si>
  <si>
    <t>Column=Total</t>
  </si>
  <si>
    <t>Column=Supplier Unit Price 1</t>
  </si>
  <si>
    <t>Column=Manufacturer Part Number 1</t>
  </si>
  <si>
    <t>NOTE</t>
  </si>
  <si>
    <t>STATUS</t>
  </si>
  <si>
    <t>Revision:</t>
  </si>
  <si>
    <t>Field=Revision</t>
  </si>
  <si>
    <t>MAIN ORDER</t>
  </si>
  <si>
    <t>SPARE PARTS</t>
  </si>
  <si>
    <t>GRAND TOTAL</t>
  </si>
  <si>
    <t>TAXES</t>
  </si>
  <si>
    <t>SHIPPING</t>
  </si>
  <si>
    <t>FINAL TOTAL</t>
  </si>
  <si>
    <t>Manufacturer 1</t>
  </si>
  <si>
    <t>Manufacturer Part Number 1</t>
  </si>
  <si>
    <t>Supplier 1</t>
  </si>
  <si>
    <t>Supplier Unit Price 1</t>
  </si>
  <si>
    <t>Total</t>
  </si>
  <si>
    <t>Libref</t>
  </si>
  <si>
    <t>Comment</t>
  </si>
  <si>
    <t>Description</t>
  </si>
  <si>
    <t>Designator</t>
  </si>
  <si>
    <t>Footprint</t>
  </si>
  <si>
    <t>Column=Supplier Part Number 1</t>
  </si>
  <si>
    <t>Column=Pricing information</t>
  </si>
  <si>
    <t>Supplier Part Number 1</t>
  </si>
  <si>
    <t>Pricing information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</si>
</sst>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(&quot;$&quot;* #,##0.00_);_(&quot;$&quot;* \(#,##0.00\);_(&quot;$&quot;* &quot;-&quot;??_);_(@_)"/>
    <numFmt numFmtId="165" formatCode="[$-C09]dd\-mmm\-yy;@"/>
    <numFmt numFmtId="166" formatCode="[$-409]h:mm:ss\ AM/PM;@"/>
    <numFmt numFmtId="167" formatCode="_(&quot;$&quot;* #,##0.000_);_(&quot;$&quot;* \(#,##0.00\);_(&quot;$&quot;* &quot;-&quot;??_);_(@_)"/>
  </numFmts>
  <fonts count="13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i/>
      <sz val="10"/>
      <name val="Arial"/>
      <family val="2"/>
    </font>
    <font>
      <b/>
      <sz val="24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sz val="10"/>
      <color rgb="FFFF000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indexed="43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5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2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2"/>
      </bottom>
      <diagonal/>
    </border>
    <border>
      <left/>
      <right/>
      <top style="thin">
        <color indexed="64"/>
      </top>
      <bottom style="medium">
        <color indexed="62"/>
      </bottom>
      <diagonal/>
    </border>
    <border>
      <left/>
      <right style="dashed">
        <color indexed="64"/>
      </right>
      <top style="thin">
        <color indexed="64"/>
      </top>
      <bottom/>
      <diagonal/>
    </border>
    <border>
      <left style="dashed">
        <color indexed="64"/>
      </left>
      <right/>
      <top style="thin">
        <color indexed="64"/>
      </top>
      <bottom/>
      <diagonal/>
    </border>
    <border>
      <left/>
      <right style="dashed">
        <color indexed="64"/>
      </right>
      <top/>
      <bottom style="thin">
        <color indexed="64"/>
      </bottom>
      <diagonal/>
    </border>
    <border>
      <left style="dashed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2"/>
      </left>
      <right/>
      <top/>
      <bottom style="medium">
        <color indexed="6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2"/>
      </top>
      <bottom/>
      <diagonal/>
    </border>
    <border>
      <left/>
      <right/>
      <top style="medium">
        <color indexed="6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18">
    <xf numFmtId="0" fontId="0" fillId="0" borderId="0" xfId="0"/>
    <xf numFmtId="0" fontId="0" fillId="0" borderId="1" xfId="0" applyBorder="1" applyAlignment="1"/>
    <xf numFmtId="0" fontId="0" fillId="0" borderId="2" xfId="0" applyBorder="1" applyAlignment="1"/>
    <xf numFmtId="0" fontId="0" fillId="0" borderId="0" xfId="0" applyBorder="1" applyAlignment="1"/>
    <xf numFmtId="0" fontId="0" fillId="0" borderId="0" xfId="0" applyAlignment="1">
      <alignment vertical="top"/>
    </xf>
    <xf numFmtId="0" fontId="0" fillId="3" borderId="3" xfId="0" applyFill="1" applyBorder="1" applyAlignment="1"/>
    <xf numFmtId="0" fontId="2" fillId="0" borderId="1" xfId="0" applyFont="1" applyBorder="1" applyAlignment="1"/>
    <xf numFmtId="0" fontId="4" fillId="0" borderId="1" xfId="0" applyFont="1" applyBorder="1" applyAlignment="1"/>
    <xf numFmtId="0" fontId="4" fillId="0" borderId="0" xfId="0" applyFont="1" applyBorder="1" applyAlignment="1"/>
    <xf numFmtId="165" fontId="0" fillId="0" borderId="4" xfId="0" applyNumberFormat="1" applyBorder="1" applyAlignment="1">
      <alignment horizontal="left"/>
    </xf>
    <xf numFmtId="166" fontId="0" fillId="0" borderId="4" xfId="0" applyNumberFormat="1" applyBorder="1" applyAlignment="1">
      <alignment horizontal="left"/>
    </xf>
    <xf numFmtId="0" fontId="5" fillId="0" borderId="0" xfId="0" applyFont="1" applyAlignment="1">
      <alignment vertical="top"/>
    </xf>
    <xf numFmtId="0" fontId="0" fillId="0" borderId="0" xfId="0" applyAlignment="1">
      <alignment horizontal="left" vertical="top"/>
    </xf>
    <xf numFmtId="0" fontId="7" fillId="2" borderId="5" xfId="0" applyNumberFormat="1" applyFont="1" applyFill="1" applyBorder="1" applyAlignment="1" applyProtection="1">
      <alignment vertical="top" wrapText="1"/>
      <protection locked="0"/>
    </xf>
    <xf numFmtId="0" fontId="1" fillId="2" borderId="6" xfId="0" applyNumberFormat="1" applyFont="1" applyFill="1" applyBorder="1" applyAlignment="1" applyProtection="1">
      <alignment horizontal="left" vertical="top" wrapText="1"/>
      <protection locked="0"/>
    </xf>
    <xf numFmtId="0" fontId="7" fillId="2" borderId="6" xfId="0" applyNumberFormat="1" applyFont="1" applyFill="1" applyBorder="1" applyAlignment="1" applyProtection="1">
      <alignment vertical="top" wrapText="1"/>
      <protection locked="0"/>
    </xf>
    <xf numFmtId="0" fontId="1" fillId="2" borderId="7" xfId="0" applyNumberFormat="1" applyFont="1" applyFill="1" applyBorder="1" applyAlignment="1" applyProtection="1">
      <alignment vertical="top" wrapText="1"/>
      <protection locked="0"/>
    </xf>
    <xf numFmtId="0" fontId="1" fillId="2" borderId="2" xfId="0" applyNumberFormat="1" applyFont="1" applyFill="1" applyBorder="1" applyAlignment="1" applyProtection="1">
      <alignment horizontal="left" vertical="top" wrapText="1"/>
      <protection locked="0"/>
    </xf>
    <xf numFmtId="0" fontId="7" fillId="2" borderId="2" xfId="0" applyNumberFormat="1" applyFont="1" applyFill="1" applyBorder="1" applyAlignment="1" applyProtection="1">
      <alignment vertical="top" wrapText="1"/>
      <protection locked="0"/>
    </xf>
    <xf numFmtId="0" fontId="0" fillId="0" borderId="8" xfId="0" applyBorder="1" applyAlignment="1">
      <alignment horizontal="left"/>
    </xf>
    <xf numFmtId="0" fontId="0" fillId="0" borderId="2" xfId="0" applyBorder="1" applyAlignment="1">
      <alignment horizontal="left"/>
    </xf>
    <xf numFmtId="49" fontId="0" fillId="0" borderId="4" xfId="0" applyNumberFormat="1" applyBorder="1" applyAlignment="1">
      <alignment horizontal="left"/>
    </xf>
    <xf numFmtId="0" fontId="0" fillId="0" borderId="0" xfId="0" applyBorder="1" applyAlignment="1">
      <alignment horizontal="left"/>
    </xf>
    <xf numFmtId="0" fontId="5" fillId="0" borderId="1" xfId="0" applyFont="1" applyBorder="1" applyAlignment="1">
      <alignment horizontal="left" vertical="top"/>
    </xf>
    <xf numFmtId="0" fontId="3" fillId="4" borderId="9" xfId="0" applyFont="1" applyFill="1" applyBorder="1" applyAlignment="1">
      <alignment vertical="center"/>
    </xf>
    <xf numFmtId="0" fontId="3" fillId="4" borderId="9" xfId="0" applyFont="1" applyFill="1" applyBorder="1" applyAlignment="1">
      <alignment horizontal="left" vertical="center"/>
    </xf>
    <xf numFmtId="0" fontId="2" fillId="0" borderId="0" xfId="0" applyFont="1" applyAlignment="1">
      <alignment vertical="center"/>
    </xf>
    <xf numFmtId="0" fontId="1" fillId="0" borderId="0" xfId="0" applyNumberFormat="1" applyFont="1" applyFill="1" applyBorder="1" applyAlignment="1" applyProtection="1">
      <alignment vertical="top"/>
      <protection locked="0"/>
    </xf>
    <xf numFmtId="0" fontId="1" fillId="0" borderId="0" xfId="0" applyNumberFormat="1" applyFont="1" applyFill="1" applyBorder="1" applyAlignment="1" applyProtection="1">
      <alignment horizontal="left" vertical="top"/>
      <protection locked="0"/>
    </xf>
    <xf numFmtId="0" fontId="1" fillId="0" borderId="2" xfId="0" applyNumberFormat="1" applyFont="1" applyFill="1" applyBorder="1" applyAlignment="1" applyProtection="1">
      <alignment horizontal="left" vertical="top"/>
      <protection locked="0"/>
    </xf>
    <xf numFmtId="0" fontId="1" fillId="0" borderId="2" xfId="0" applyNumberFormat="1" applyFont="1" applyFill="1" applyBorder="1" applyAlignment="1" applyProtection="1">
      <alignment vertical="top"/>
      <protection locked="0"/>
    </xf>
    <xf numFmtId="0" fontId="1" fillId="0" borderId="10" xfId="0" applyNumberFormat="1" applyFont="1" applyFill="1" applyBorder="1" applyAlignment="1" applyProtection="1">
      <alignment horizontal="left" vertical="top"/>
      <protection locked="0"/>
    </xf>
    <xf numFmtId="0" fontId="1" fillId="0" borderId="11" xfId="0" applyNumberFormat="1" applyFont="1" applyFill="1" applyBorder="1" applyAlignment="1" applyProtection="1">
      <alignment horizontal="left" vertical="top"/>
      <protection locked="0"/>
    </xf>
    <xf numFmtId="0" fontId="1" fillId="0" borderId="11" xfId="0" applyNumberFormat="1" applyFont="1" applyFill="1" applyBorder="1" applyAlignment="1" applyProtection="1">
      <alignment vertical="top"/>
      <protection locked="0"/>
    </xf>
    <xf numFmtId="0" fontId="0" fillId="3" borderId="12" xfId="0" applyFill="1" applyBorder="1" applyAlignment="1"/>
    <xf numFmtId="0" fontId="0" fillId="3" borderId="13" xfId="0" applyFill="1" applyBorder="1" applyAlignment="1">
      <alignment horizontal="left"/>
    </xf>
    <xf numFmtId="0" fontId="0" fillId="3" borderId="6" xfId="0" applyFill="1" applyBorder="1" applyAlignment="1"/>
    <xf numFmtId="0" fontId="6" fillId="0" borderId="1" xfId="0" applyNumberFormat="1" applyFont="1" applyFill="1" applyBorder="1" applyAlignment="1" applyProtection="1">
      <alignment vertical="top"/>
      <protection locked="0"/>
    </xf>
    <xf numFmtId="0" fontId="1" fillId="0" borderId="1" xfId="0" applyNumberFormat="1" applyFont="1" applyFill="1" applyBorder="1" applyAlignment="1" applyProtection="1">
      <alignment vertical="top"/>
      <protection locked="0"/>
    </xf>
    <xf numFmtId="0" fontId="1" fillId="0" borderId="7" xfId="0" applyNumberFormat="1" applyFont="1" applyFill="1" applyBorder="1" applyAlignment="1" applyProtection="1">
      <alignment vertical="top"/>
      <protection locked="0"/>
    </xf>
    <xf numFmtId="0" fontId="1" fillId="0" borderId="5" xfId="0" applyNumberFormat="1" applyFont="1" applyFill="1" applyBorder="1" applyAlignment="1" applyProtection="1">
      <alignment vertical="top"/>
      <protection locked="0"/>
    </xf>
    <xf numFmtId="0" fontId="1" fillId="0" borderId="14" xfId="0" applyNumberFormat="1" applyFont="1" applyFill="1" applyBorder="1" applyAlignment="1" applyProtection="1">
      <alignment horizontal="left" vertical="top"/>
      <protection locked="0"/>
    </xf>
    <xf numFmtId="0" fontId="1" fillId="0" borderId="15" xfId="0" applyNumberFormat="1" applyFont="1" applyFill="1" applyBorder="1" applyAlignment="1" applyProtection="1">
      <alignment horizontal="left" vertical="top"/>
      <protection locked="0"/>
    </xf>
    <xf numFmtId="0" fontId="1" fillId="0" borderId="15" xfId="0" applyNumberFormat="1" applyFont="1" applyFill="1" applyBorder="1" applyAlignment="1" applyProtection="1">
      <alignment vertical="top"/>
      <protection locked="0"/>
    </xf>
    <xf numFmtId="0" fontId="1" fillId="0" borderId="16" xfId="0" applyNumberFormat="1" applyFont="1" applyFill="1" applyBorder="1" applyAlignment="1" applyProtection="1">
      <alignment horizontal="left" vertical="top"/>
      <protection locked="0"/>
    </xf>
    <xf numFmtId="0" fontId="1" fillId="0" borderId="17" xfId="0" applyNumberFormat="1" applyFont="1" applyFill="1" applyBorder="1" applyAlignment="1" applyProtection="1">
      <alignment horizontal="left" vertical="top"/>
      <protection locked="0"/>
    </xf>
    <xf numFmtId="0" fontId="1" fillId="0" borderId="17" xfId="0" applyNumberFormat="1" applyFont="1" applyFill="1" applyBorder="1" applyAlignment="1" applyProtection="1">
      <alignment vertical="top"/>
      <protection locked="0"/>
    </xf>
    <xf numFmtId="0" fontId="2" fillId="0" borderId="7" xfId="0" applyFont="1" applyBorder="1" applyAlignment="1"/>
    <xf numFmtId="0" fontId="2" fillId="0" borderId="2" xfId="0" applyFont="1" applyBorder="1" applyAlignment="1">
      <alignment horizontal="left"/>
    </xf>
    <xf numFmtId="0" fontId="2" fillId="0" borderId="2" xfId="0" applyFont="1" applyBorder="1" applyAlignment="1"/>
    <xf numFmtId="0" fontId="2" fillId="0" borderId="0" xfId="0" applyFont="1" applyBorder="1" applyAlignment="1"/>
    <xf numFmtId="0" fontId="0" fillId="0" borderId="4" xfId="0" applyBorder="1" applyAlignment="1"/>
    <xf numFmtId="0" fontId="6" fillId="0" borderId="0" xfId="0" applyNumberFormat="1" applyFont="1" applyFill="1" applyBorder="1" applyAlignment="1" applyProtection="1">
      <alignment horizontal="left" vertical="top"/>
      <protection locked="0"/>
    </xf>
    <xf numFmtId="0" fontId="6" fillId="0" borderId="0" xfId="0" applyNumberFormat="1" applyFont="1" applyFill="1" applyBorder="1" applyAlignment="1" applyProtection="1">
      <alignment vertical="top"/>
      <protection locked="0"/>
    </xf>
    <xf numFmtId="0" fontId="0" fillId="0" borderId="6" xfId="0" applyBorder="1" applyAlignment="1">
      <alignment horizontal="left" vertical="top"/>
    </xf>
    <xf numFmtId="0" fontId="0" fillId="0" borderId="6" xfId="0" applyBorder="1" applyAlignment="1">
      <alignment vertical="top"/>
    </xf>
    <xf numFmtId="0" fontId="1" fillId="0" borderId="6" xfId="0" applyNumberFormat="1" applyFont="1" applyFill="1" applyBorder="1" applyAlignment="1" applyProtection="1">
      <alignment vertical="top"/>
      <protection locked="0"/>
    </xf>
    <xf numFmtId="0" fontId="0" fillId="0" borderId="0" xfId="0" applyBorder="1" applyAlignment="1">
      <alignment vertical="top"/>
    </xf>
    <xf numFmtId="0" fontId="0" fillId="5" borderId="0" xfId="0" applyFill="1" applyBorder="1" applyAlignment="1"/>
    <xf numFmtId="0" fontId="5" fillId="5" borderId="0" xfId="0" applyFont="1" applyFill="1" applyBorder="1" applyAlignment="1">
      <alignment vertical="top"/>
    </xf>
    <xf numFmtId="0" fontId="6" fillId="0" borderId="2" xfId="0" applyNumberFormat="1" applyFont="1" applyFill="1" applyBorder="1" applyAlignment="1" applyProtection="1">
      <alignment vertical="top"/>
      <protection locked="0"/>
    </xf>
    <xf numFmtId="0" fontId="5" fillId="5" borderId="18" xfId="0" applyNumberFormat="1" applyFont="1" applyFill="1" applyBorder="1" applyAlignment="1">
      <alignment vertical="top"/>
    </xf>
    <xf numFmtId="0" fontId="0" fillId="5" borderId="19" xfId="0" applyNumberFormat="1" applyFill="1" applyBorder="1" applyAlignment="1">
      <alignment vertical="top"/>
    </xf>
    <xf numFmtId="0" fontId="3" fillId="6" borderId="19" xfId="0" applyFont="1" applyFill="1" applyBorder="1" applyAlignment="1">
      <alignment vertical="center"/>
    </xf>
    <xf numFmtId="164" fontId="0" fillId="7" borderId="19" xfId="0" applyNumberFormat="1" applyFill="1" applyBorder="1" applyAlignment="1">
      <alignment vertical="top"/>
    </xf>
    <xf numFmtId="0" fontId="1" fillId="0" borderId="20" xfId="0" applyNumberFormat="1" applyFont="1" applyFill="1" applyBorder="1" applyAlignment="1" applyProtection="1">
      <alignment vertical="top"/>
      <protection locked="0"/>
    </xf>
    <xf numFmtId="0" fontId="1" fillId="0" borderId="21" xfId="0" applyNumberFormat="1" applyFont="1" applyFill="1" applyBorder="1" applyAlignment="1" applyProtection="1">
      <alignment vertical="top"/>
      <protection locked="0"/>
    </xf>
    <xf numFmtId="0" fontId="1" fillId="0" borderId="22" xfId="0" applyNumberFormat="1" applyFont="1" applyFill="1" applyBorder="1" applyAlignment="1" applyProtection="1">
      <alignment vertical="top"/>
      <protection locked="0"/>
    </xf>
    <xf numFmtId="0" fontId="0" fillId="3" borderId="0" xfId="0" applyFill="1" applyBorder="1" applyAlignment="1"/>
    <xf numFmtId="0" fontId="0" fillId="0" borderId="6" xfId="0" applyBorder="1" applyAlignment="1"/>
    <xf numFmtId="0" fontId="6" fillId="0" borderId="22" xfId="0" applyNumberFormat="1" applyFont="1" applyFill="1" applyBorder="1" applyAlignment="1" applyProtection="1">
      <alignment vertical="top"/>
      <protection locked="0"/>
    </xf>
    <xf numFmtId="164" fontId="5" fillId="5" borderId="18" xfId="1" applyFont="1" applyFill="1" applyBorder="1" applyAlignment="1">
      <alignment vertical="top"/>
    </xf>
    <xf numFmtId="0" fontId="0" fillId="5" borderId="6" xfId="0" applyFill="1" applyBorder="1" applyAlignment="1">
      <alignment vertical="top"/>
    </xf>
    <xf numFmtId="164" fontId="10" fillId="5" borderId="6" xfId="1" applyFont="1" applyFill="1" applyBorder="1" applyAlignment="1">
      <alignment vertical="top"/>
    </xf>
    <xf numFmtId="0" fontId="0" fillId="5" borderId="20" xfId="0" applyFill="1" applyBorder="1" applyAlignment="1">
      <alignment vertical="top"/>
    </xf>
    <xf numFmtId="164" fontId="5" fillId="5" borderId="1" xfId="1" applyFont="1" applyFill="1" applyBorder="1" applyAlignment="1">
      <alignment vertical="top"/>
    </xf>
    <xf numFmtId="167" fontId="5" fillId="5" borderId="1" xfId="0" applyNumberFormat="1" applyFont="1" applyFill="1" applyBorder="1" applyAlignment="1">
      <alignment vertical="top"/>
    </xf>
    <xf numFmtId="167" fontId="5" fillId="7" borderId="19" xfId="0" applyNumberFormat="1" applyFont="1" applyFill="1" applyBorder="1" applyAlignment="1">
      <alignment vertical="top"/>
    </xf>
    <xf numFmtId="0" fontId="5" fillId="7" borderId="18" xfId="0" applyNumberFormat="1" applyFont="1" applyFill="1" applyBorder="1" applyAlignment="1">
      <alignment vertical="top"/>
    </xf>
    <xf numFmtId="49" fontId="5" fillId="0" borderId="4" xfId="0" quotePrefix="1" applyNumberFormat="1" applyFont="1" applyBorder="1" applyAlignment="1">
      <alignment horizontal="left"/>
    </xf>
    <xf numFmtId="0" fontId="9" fillId="3" borderId="23" xfId="0" quotePrefix="1" applyFont="1" applyFill="1" applyBorder="1" applyAlignment="1">
      <alignment vertical="center"/>
    </xf>
    <xf numFmtId="0" fontId="2" fillId="0" borderId="0" xfId="0" applyFont="1" applyBorder="1" applyAlignment="1">
      <alignment horizontal="left"/>
    </xf>
    <xf numFmtId="0" fontId="2" fillId="0" borderId="4" xfId="0" applyFont="1" applyBorder="1" applyAlignment="1">
      <alignment horizontal="left"/>
    </xf>
    <xf numFmtId="0" fontId="3" fillId="6" borderId="24" xfId="0" applyFont="1" applyFill="1" applyBorder="1" applyAlignment="1">
      <alignment vertical="center"/>
    </xf>
    <xf numFmtId="0" fontId="5" fillId="0" borderId="18" xfId="0" applyFont="1" applyBorder="1" applyAlignment="1">
      <alignment vertical="top"/>
    </xf>
    <xf numFmtId="0" fontId="5" fillId="0" borderId="25" xfId="0" applyFont="1" applyBorder="1" applyAlignment="1">
      <alignment vertical="top"/>
    </xf>
    <xf numFmtId="0" fontId="5" fillId="5" borderId="1" xfId="0" applyFont="1" applyFill="1" applyBorder="1" applyAlignment="1">
      <alignment horizontal="left" vertical="top"/>
    </xf>
    <xf numFmtId="0" fontId="5" fillId="5" borderId="18" xfId="0" applyFont="1" applyFill="1" applyBorder="1" applyAlignment="1">
      <alignment vertical="top"/>
    </xf>
    <xf numFmtId="164" fontId="5" fillId="5" borderId="18" xfId="0" applyNumberFormat="1" applyFont="1" applyFill="1" applyBorder="1" applyAlignment="1">
      <alignment vertical="top"/>
    </xf>
    <xf numFmtId="0" fontId="0" fillId="5" borderId="2" xfId="0" applyFill="1" applyBorder="1" applyAlignment="1"/>
    <xf numFmtId="14" fontId="0" fillId="0" borderId="5" xfId="0" applyNumberFormat="1" applyBorder="1" applyAlignment="1">
      <alignment vertical="top"/>
    </xf>
    <xf numFmtId="0" fontId="3" fillId="6" borderId="9" xfId="0" applyFont="1" applyFill="1" applyBorder="1" applyAlignment="1">
      <alignment vertical="center"/>
    </xf>
    <xf numFmtId="164" fontId="5" fillId="5" borderId="0" xfId="0" applyNumberFormat="1" applyFont="1" applyFill="1" applyBorder="1" applyAlignment="1">
      <alignment vertical="top"/>
    </xf>
    <xf numFmtId="0" fontId="5" fillId="5" borderId="26" xfId="0" applyFont="1" applyFill="1" applyBorder="1" applyAlignment="1">
      <alignment vertical="top"/>
    </xf>
    <xf numFmtId="0" fontId="5" fillId="5" borderId="25" xfId="0" applyFont="1" applyFill="1" applyBorder="1" applyAlignment="1">
      <alignment vertical="top"/>
    </xf>
    <xf numFmtId="0" fontId="1" fillId="5" borderId="1" xfId="0" applyFont="1" applyFill="1" applyBorder="1" applyAlignment="1">
      <alignment horizontal="left" vertical="top"/>
    </xf>
    <xf numFmtId="0" fontId="1" fillId="0" borderId="1" xfId="0" applyFont="1" applyBorder="1" applyAlignment="1">
      <alignment horizontal="left" vertical="top"/>
    </xf>
    <xf numFmtId="0" fontId="0" fillId="3" borderId="13" xfId="0" applyFill="1" applyBorder="1" applyAlignment="1"/>
    <xf numFmtId="14" fontId="0" fillId="0" borderId="6" xfId="0" applyNumberFormat="1" applyBorder="1" applyAlignment="1">
      <alignment vertical="top"/>
    </xf>
    <xf numFmtId="0" fontId="1" fillId="2" borderId="2" xfId="0" applyNumberFormat="1" applyFont="1" applyFill="1" applyBorder="1" applyAlignment="1" applyProtection="1">
      <alignment vertical="top" wrapText="1"/>
      <protection locked="0"/>
    </xf>
    <xf numFmtId="0" fontId="1" fillId="5" borderId="19" xfId="0" applyFont="1" applyFill="1" applyBorder="1" applyAlignment="1">
      <alignment horizontal="left" vertical="top"/>
    </xf>
    <xf numFmtId="0" fontId="1" fillId="0" borderId="19" xfId="0" applyFont="1" applyBorder="1" applyAlignment="1">
      <alignment horizontal="left" vertical="top"/>
    </xf>
    <xf numFmtId="0" fontId="3" fillId="4" borderId="7" xfId="0" applyFont="1" applyFill="1" applyBorder="1" applyAlignment="1">
      <alignment vertical="center"/>
    </xf>
    <xf numFmtId="0" fontId="1" fillId="0" borderId="29" xfId="0" applyFont="1" applyBorder="1" applyAlignment="1">
      <alignment horizontal="left"/>
    </xf>
    <xf numFmtId="0" fontId="1" fillId="0" borderId="29" xfId="0" applyFont="1" applyBorder="1" applyAlignment="1">
      <alignment horizontal="left" vertical="top"/>
    </xf>
    <xf numFmtId="0" fontId="12" fillId="8" borderId="30" xfId="0" applyFont="1" applyFill="1" applyBorder="1" applyAlignment="1"/>
    <xf numFmtId="164" fontId="12" fillId="8" borderId="31" xfId="0" applyNumberFormat="1" applyFont="1" applyFill="1" applyBorder="1" applyAlignment="1"/>
    <xf numFmtId="0" fontId="12" fillId="8" borderId="32" xfId="0" applyFont="1" applyFill="1" applyBorder="1" applyAlignment="1"/>
    <xf numFmtId="0" fontId="12" fillId="8" borderId="33" xfId="0" applyFont="1" applyFill="1" applyBorder="1" applyAlignment="1"/>
    <xf numFmtId="0" fontId="12" fillId="8" borderId="34" xfId="0" applyFont="1" applyFill="1" applyBorder="1" applyAlignment="1"/>
    <xf numFmtId="0" fontId="12" fillId="8" borderId="35" xfId="0" applyFont="1" applyFill="1" applyBorder="1" applyAlignment="1"/>
    <xf numFmtId="0" fontId="12" fillId="8" borderId="36" xfId="0" applyFont="1" applyFill="1" applyBorder="1" applyAlignment="1"/>
    <xf numFmtId="164" fontId="12" fillId="8" borderId="37" xfId="0" applyNumberFormat="1" applyFont="1" applyFill="1" applyBorder="1" applyAlignment="1"/>
    <xf numFmtId="0" fontId="5" fillId="5" borderId="0" xfId="0" applyNumberFormat="1" applyFont="1" applyFill="1" applyBorder="1" applyAlignment="1">
      <alignment vertical="top"/>
    </xf>
    <xf numFmtId="0" fontId="0" fillId="5" borderId="6" xfId="0" applyNumberFormat="1" applyFill="1" applyBorder="1" applyAlignment="1">
      <alignment vertical="top"/>
    </xf>
    <xf numFmtId="0" fontId="8" fillId="0" borderId="27" xfId="0" applyFont="1" applyBorder="1" applyAlignment="1">
      <alignment vertical="center"/>
    </xf>
    <xf numFmtId="0" fontId="8" fillId="0" borderId="28" xfId="0" applyFont="1" applyBorder="1" applyAlignment="1">
      <alignment vertical="center"/>
    </xf>
    <xf numFmtId="0" fontId="0" fillId="0" borderId="28" xfId="0" applyBorder="1" applyAlignment="1"/>
  </cellXfs>
  <cellStyles count="2">
    <cellStyle name="Currency" xfId="1" builtinId="4"/>
    <cellStyle name="Normal" xfId="0" builtinId="0"/>
  </cellStyles>
  <dxfs count="8">
    <dxf>
      <fill>
        <patternFill>
          <bgColor theme="8"/>
        </patternFill>
      </fill>
    </dxf>
    <dxf>
      <fill>
        <patternFill>
          <bgColor theme="8" tint="0.79998168889431442"/>
        </patternFill>
      </fill>
    </dxf>
    <dxf>
      <fill>
        <patternFill>
          <bgColor theme="8"/>
        </patternFill>
      </fill>
    </dxf>
    <dxf>
      <fill>
        <patternFill>
          <bgColor theme="8" tint="0.79998168889431442"/>
        </patternFill>
      </fill>
    </dxf>
    <dxf>
      <fill>
        <patternFill>
          <bgColor theme="8"/>
        </patternFill>
      </fill>
    </dxf>
    <dxf>
      <fill>
        <patternFill>
          <bgColor theme="8" tint="0.79998168889431442"/>
        </patternFill>
      </fill>
    </dxf>
    <dxf>
      <fill>
        <patternFill>
          <bgColor theme="8"/>
        </patternFill>
      </fill>
    </dxf>
    <dxf>
      <fill>
        <patternFill>
          <bgColor theme="8" tint="0.7999816888943144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2</xdr:row>
          <xdr:rowOff>161925</xdr:rowOff>
        </xdr:from>
        <xdr:to>
          <xdr:col>7</xdr:col>
          <xdr:colOff>371475</xdr:colOff>
          <xdr:row>3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Calculate Pricing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3</xdr:row>
          <xdr:rowOff>200025</xdr:rowOff>
        </xdr:from>
        <xdr:to>
          <xdr:col>7</xdr:col>
          <xdr:colOff>638175</xdr:colOff>
          <xdr:row>4</xdr:row>
          <xdr:rowOff>209550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Resize Rows/Shade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190500</xdr:colOff>
          <xdr:row>9</xdr:row>
          <xdr:rowOff>57150</xdr:rowOff>
        </xdr:from>
        <xdr:to>
          <xdr:col>7</xdr:col>
          <xdr:colOff>638175</xdr:colOff>
          <xdr:row>10</xdr:row>
          <xdr:rowOff>85725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Unhide/Hide Supplier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219075</xdr:colOff>
          <xdr:row>10</xdr:row>
          <xdr:rowOff>133350</xdr:rowOff>
        </xdr:from>
        <xdr:to>
          <xdr:col>7</xdr:col>
          <xdr:colOff>638175</xdr:colOff>
          <xdr:row>11</xdr:row>
          <xdr:rowOff>180975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Unhide/Hide Assem Manf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190500</xdr:colOff>
          <xdr:row>7</xdr:row>
          <xdr:rowOff>114300</xdr:rowOff>
        </xdr:from>
        <xdr:to>
          <xdr:col>7</xdr:col>
          <xdr:colOff>638175</xdr:colOff>
          <xdr:row>8</xdr:row>
          <xdr:rowOff>123825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Unhide/Hide Supplier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428625</xdr:colOff>
          <xdr:row>7</xdr:row>
          <xdr:rowOff>133350</xdr:rowOff>
        </xdr:from>
        <xdr:to>
          <xdr:col>6</xdr:col>
          <xdr:colOff>9525</xdr:colOff>
          <xdr:row>8</xdr:row>
          <xdr:rowOff>142875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Unhide/Hide Helper Info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B35"/>
  <sheetViews>
    <sheetView showGridLines="0" tabSelected="1" topLeftCell="E1" zoomScale="70" zoomScaleNormal="70" workbookViewId="0">
      <selection activeCell="I41" sqref="I41"/>
    </sheetView>
  </sheetViews>
  <sheetFormatPr defaultRowHeight="12.75" x14ac:dyDescent="0.2"/>
  <cols>
    <col min="1" max="3" width="16.28515625" style="4" customWidth="1"/>
    <col min="4" max="4" width="22.42578125" style="12" bestFit="1" customWidth="1"/>
    <col min="5" max="5" width="26.5703125" style="12" customWidth="1"/>
    <col min="6" max="6" width="18.85546875" style="4" bestFit="1" customWidth="1"/>
    <col min="7" max="7" width="15.28515625" style="4" bestFit="1" customWidth="1"/>
    <col min="8" max="8" width="9.5703125" style="57" bestFit="1" customWidth="1"/>
    <col min="9" max="9" width="27.5703125" style="4" customWidth="1"/>
    <col min="10" max="10" width="15.42578125" style="4" customWidth="1"/>
    <col min="11" max="11" width="19.140625" style="4" bestFit="1" customWidth="1"/>
    <col min="12" max="12" width="19.140625" style="4" customWidth="1"/>
    <col min="13" max="13" width="13.42578125" style="4" customWidth="1"/>
    <col min="14" max="14" width="19.140625" style="4" customWidth="1"/>
    <col min="15" max="15" width="17.42578125" style="4" customWidth="1"/>
    <col min="16" max="16" width="28.42578125" style="4" hidden="1" customWidth="1"/>
    <col min="17" max="17" width="15.85546875" style="4" hidden="1" customWidth="1"/>
    <col min="18" max="18" width="17.7109375" style="4" hidden="1" customWidth="1"/>
    <col min="19" max="19" width="16.42578125" style="4" hidden="1" customWidth="1"/>
    <col min="20" max="20" width="18.7109375" style="4" hidden="1" customWidth="1"/>
    <col min="21" max="21" width="17" style="4" hidden="1" customWidth="1"/>
    <col min="22" max="25" width="9.140625" style="4" hidden="1" customWidth="1"/>
    <col min="26" max="16384" width="9.140625" style="4"/>
  </cols>
  <sheetData>
    <row r="1" spans="1:28" ht="13.5" thickBot="1" x14ac:dyDescent="0.25">
      <c r="A1" s="34"/>
      <c r="B1" s="97"/>
      <c r="C1" s="97"/>
      <c r="D1" s="35"/>
      <c r="E1" s="35"/>
      <c r="F1" s="36"/>
      <c r="G1" s="36"/>
      <c r="H1" s="68"/>
      <c r="I1" s="36"/>
      <c r="J1" s="36"/>
      <c r="K1" s="68"/>
      <c r="L1" s="68"/>
      <c r="M1" s="68"/>
      <c r="N1" s="68"/>
      <c r="O1" s="68"/>
      <c r="P1" s="68"/>
      <c r="Q1" s="68"/>
      <c r="R1" s="68"/>
      <c r="S1" s="68"/>
      <c r="T1" s="68"/>
      <c r="U1" s="68"/>
      <c r="V1" s="68"/>
      <c r="W1" s="68"/>
      <c r="X1" s="68"/>
      <c r="Y1" s="68"/>
    </row>
    <row r="2" spans="1:28" ht="37.5" customHeight="1" thickBot="1" x14ac:dyDescent="0.25">
      <c r="A2" s="115" t="s">
        <v>10</v>
      </c>
      <c r="B2" s="116"/>
      <c r="C2" s="116"/>
      <c r="D2" s="117"/>
      <c r="E2" s="19"/>
      <c r="F2" s="80"/>
      <c r="G2" s="5"/>
      <c r="H2" s="5"/>
      <c r="I2" s="68"/>
      <c r="J2" s="68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</row>
    <row r="3" spans="1:28" ht="23.25" customHeight="1" x14ac:dyDescent="0.2">
      <c r="A3" s="6" t="s">
        <v>6</v>
      </c>
      <c r="B3" s="50"/>
      <c r="C3" s="50"/>
      <c r="D3" s="22"/>
      <c r="E3" s="81" t="s">
        <v>18</v>
      </c>
      <c r="F3" s="50"/>
      <c r="G3" s="3"/>
      <c r="H3" s="3"/>
      <c r="I3" s="105" t="s">
        <v>51</v>
      </c>
      <c r="J3" s="106">
        <f>O19+O35</f>
        <v>0</v>
      </c>
      <c r="K3" s="3"/>
      <c r="L3" s="3"/>
      <c r="M3" s="58"/>
      <c r="N3" s="3"/>
      <c r="O3" s="58"/>
      <c r="P3" s="58"/>
      <c r="Q3" s="58"/>
      <c r="R3" s="58"/>
      <c r="S3" s="58"/>
      <c r="T3" s="57"/>
    </row>
    <row r="4" spans="1:28" ht="17.25" customHeight="1" x14ac:dyDescent="0.2">
      <c r="A4" s="6" t="s">
        <v>9</v>
      </c>
      <c r="B4" s="50"/>
      <c r="C4" s="50"/>
      <c r="D4" s="22"/>
      <c r="E4" s="82" t="s">
        <v>19</v>
      </c>
      <c r="F4" s="51"/>
      <c r="G4" s="3"/>
      <c r="H4" s="3"/>
      <c r="I4" s="107" t="s">
        <v>49</v>
      </c>
      <c r="J4" s="108"/>
      <c r="K4" s="3"/>
      <c r="L4" s="3"/>
      <c r="M4" s="58"/>
      <c r="N4" s="3"/>
      <c r="O4" s="58"/>
      <c r="P4" s="58"/>
      <c r="Q4" s="58"/>
      <c r="R4" s="58"/>
      <c r="S4" s="58"/>
      <c r="T4" s="57"/>
    </row>
    <row r="5" spans="1:28" ht="17.25" customHeight="1" thickBot="1" x14ac:dyDescent="0.25">
      <c r="A5" s="6" t="s">
        <v>7</v>
      </c>
      <c r="B5" s="50"/>
      <c r="C5" s="50"/>
      <c r="D5" s="22"/>
      <c r="E5" s="48" t="s">
        <v>20</v>
      </c>
      <c r="F5" s="2"/>
      <c r="G5" s="3"/>
      <c r="H5" s="3"/>
      <c r="I5" s="109" t="s">
        <v>50</v>
      </c>
      <c r="J5" s="110"/>
      <c r="K5" s="3"/>
      <c r="L5" s="3"/>
      <c r="M5" s="58"/>
      <c r="N5" s="3"/>
      <c r="O5" s="58"/>
      <c r="P5" s="58"/>
      <c r="Q5" s="58"/>
      <c r="R5" s="58"/>
      <c r="S5" s="58"/>
      <c r="T5" s="57"/>
    </row>
    <row r="6" spans="1:28" ht="17.25" customHeight="1" thickBot="1" x14ac:dyDescent="0.25">
      <c r="A6" s="6" t="s">
        <v>44</v>
      </c>
      <c r="B6" s="50"/>
      <c r="C6" s="50"/>
      <c r="D6" s="22"/>
      <c r="E6" s="48" t="s">
        <v>45</v>
      </c>
      <c r="F6" s="2"/>
      <c r="G6" s="3"/>
      <c r="H6" s="3"/>
      <c r="I6" s="111" t="s">
        <v>48</v>
      </c>
      <c r="J6" s="112">
        <f>SUM(J3:J5)</f>
        <v>0</v>
      </c>
      <c r="K6" s="3"/>
      <c r="L6" s="3"/>
      <c r="M6" s="58"/>
      <c r="N6" s="3"/>
      <c r="O6" s="58"/>
      <c r="P6" s="58"/>
      <c r="Q6" s="58"/>
      <c r="R6" s="58"/>
      <c r="S6" s="58"/>
      <c r="T6" s="57"/>
    </row>
    <row r="7" spans="1:28" x14ac:dyDescent="0.2">
      <c r="A7" s="47"/>
      <c r="B7" s="49"/>
      <c r="C7" s="49"/>
      <c r="D7" s="48"/>
      <c r="E7" s="20"/>
      <c r="F7" s="2"/>
      <c r="G7" s="49"/>
      <c r="H7" s="3"/>
      <c r="I7" s="49"/>
      <c r="J7" s="49"/>
      <c r="K7" s="50"/>
      <c r="L7" s="50"/>
      <c r="M7" s="50"/>
      <c r="N7" s="50"/>
      <c r="O7" s="50"/>
      <c r="P7" s="49"/>
      <c r="Q7" s="49"/>
      <c r="R7" s="49"/>
      <c r="S7" s="49"/>
      <c r="T7" s="49"/>
      <c r="U7" s="49"/>
      <c r="V7" s="49"/>
      <c r="W7" s="49"/>
      <c r="X7" s="49"/>
      <c r="Y7" s="49"/>
    </row>
    <row r="8" spans="1:28" ht="15.75" customHeight="1" x14ac:dyDescent="0.2">
      <c r="A8" s="7" t="s">
        <v>2</v>
      </c>
      <c r="B8" s="8"/>
      <c r="C8" s="8"/>
      <c r="D8" s="20" t="s">
        <v>21</v>
      </c>
      <c r="E8" s="20" t="s">
        <v>22</v>
      </c>
      <c r="F8" s="8"/>
      <c r="G8" s="3"/>
      <c r="H8" s="69"/>
      <c r="I8" s="3"/>
      <c r="J8" s="3"/>
      <c r="K8" s="69"/>
      <c r="L8" s="69"/>
      <c r="M8" s="69"/>
      <c r="N8" s="69"/>
      <c r="O8" s="69"/>
      <c r="P8" s="58"/>
      <c r="Q8" s="58"/>
      <c r="R8" s="58"/>
      <c r="S8" s="58"/>
    </row>
    <row r="9" spans="1:28" ht="15.75" customHeight="1" x14ac:dyDescent="0.2">
      <c r="A9" s="1" t="s">
        <v>3</v>
      </c>
      <c r="B9" s="3"/>
      <c r="C9" s="3"/>
      <c r="D9" s="9">
        <f ca="1">TODAY()</f>
        <v>42564</v>
      </c>
      <c r="E9" s="10">
        <f ca="1">NOW()</f>
        <v>42564.634696759262</v>
      </c>
      <c r="F9" s="8"/>
      <c r="G9" s="3"/>
      <c r="H9" s="3"/>
      <c r="I9" s="3"/>
      <c r="J9" s="3"/>
      <c r="K9" s="3"/>
      <c r="L9" s="3"/>
      <c r="M9" s="58"/>
      <c r="N9" s="3"/>
      <c r="O9" s="58"/>
      <c r="P9" s="58"/>
      <c r="Q9" s="58"/>
      <c r="R9" s="58"/>
      <c r="S9" s="58"/>
    </row>
    <row r="10" spans="1:28" ht="15.75" customHeight="1" x14ac:dyDescent="0.2">
      <c r="A10" s="7"/>
      <c r="B10" s="8"/>
      <c r="C10" s="8"/>
      <c r="D10" s="21"/>
      <c r="E10" s="21"/>
      <c r="F10" s="8"/>
      <c r="G10" s="3"/>
      <c r="H10" s="3"/>
      <c r="I10" s="3"/>
      <c r="J10" s="3"/>
      <c r="K10" s="3"/>
      <c r="L10" s="3"/>
      <c r="M10" s="58"/>
      <c r="N10" s="3"/>
      <c r="O10" s="58"/>
      <c r="P10" s="58"/>
      <c r="Q10" s="58"/>
      <c r="R10" s="58"/>
      <c r="S10" s="58"/>
    </row>
    <row r="11" spans="1:28" ht="15.75" customHeight="1" x14ac:dyDescent="0.2">
      <c r="A11" s="7" t="s">
        <v>11</v>
      </c>
      <c r="B11" s="8"/>
      <c r="C11" s="8"/>
      <c r="D11" s="79" t="s">
        <v>16</v>
      </c>
      <c r="E11" s="21"/>
      <c r="F11" s="8"/>
      <c r="G11" s="3"/>
      <c r="H11" s="3"/>
      <c r="I11" s="3"/>
      <c r="J11" s="3"/>
      <c r="K11" s="3"/>
      <c r="L11" s="3"/>
      <c r="M11" s="58"/>
      <c r="N11" s="3"/>
      <c r="O11" s="58"/>
      <c r="P11" s="58"/>
      <c r="Q11" s="58"/>
      <c r="R11" s="58"/>
      <c r="S11" s="58"/>
    </row>
    <row r="12" spans="1:28" ht="15.75" customHeight="1" x14ac:dyDescent="0.2">
      <c r="A12" s="7" t="s">
        <v>13</v>
      </c>
      <c r="B12" s="8"/>
      <c r="C12" s="8"/>
      <c r="D12" s="21" t="s">
        <v>17</v>
      </c>
      <c r="E12" s="21"/>
      <c r="F12" s="8"/>
      <c r="G12" s="3"/>
      <c r="H12" s="3"/>
      <c r="I12" s="3"/>
      <c r="J12" s="3"/>
      <c r="K12" s="3"/>
      <c r="L12" s="3"/>
      <c r="M12" s="58"/>
      <c r="N12" s="3"/>
      <c r="O12" s="58"/>
      <c r="P12" s="58"/>
      <c r="Q12" s="58"/>
      <c r="R12" s="58"/>
      <c r="S12" s="58"/>
    </row>
    <row r="13" spans="1:28" ht="15.75" customHeight="1" thickBot="1" x14ac:dyDescent="0.25">
      <c r="A13" s="1"/>
      <c r="B13" s="3"/>
      <c r="C13" s="3"/>
      <c r="D13" s="22"/>
      <c r="E13" s="22"/>
      <c r="F13" s="3"/>
      <c r="G13" s="3"/>
      <c r="H13" s="3"/>
      <c r="I13" s="3"/>
      <c r="J13" s="3"/>
      <c r="K13" s="3"/>
      <c r="L13" s="3"/>
      <c r="M13" s="58"/>
      <c r="N13" s="3"/>
      <c r="O13" s="89"/>
      <c r="P13" s="58"/>
      <c r="Q13" s="58"/>
      <c r="R13" s="58"/>
      <c r="S13" s="58"/>
      <c r="AA13" s="4" t="s">
        <v>33</v>
      </c>
    </row>
    <row r="14" spans="1:28" ht="15.75" customHeight="1" thickBot="1" x14ac:dyDescent="0.25">
      <c r="A14" s="1"/>
      <c r="B14" s="3"/>
      <c r="C14" s="3"/>
      <c r="D14" s="103" t="s">
        <v>46</v>
      </c>
      <c r="E14" s="22"/>
      <c r="F14" s="3"/>
      <c r="G14" s="3"/>
      <c r="H14" s="3"/>
      <c r="I14" s="3"/>
      <c r="J14" s="3"/>
      <c r="K14" s="3"/>
      <c r="L14" s="3"/>
      <c r="M14" s="58"/>
      <c r="N14" s="3"/>
      <c r="O14" s="89"/>
      <c r="P14" s="58"/>
      <c r="Q14" s="58"/>
      <c r="R14" s="58"/>
      <c r="S14" s="58"/>
    </row>
    <row r="15" spans="1:28" s="26" customFormat="1" ht="19.5" customHeight="1" x14ac:dyDescent="0.2">
      <c r="A15" s="63" t="s">
        <v>42</v>
      </c>
      <c r="B15" s="63" t="s">
        <v>43</v>
      </c>
      <c r="C15" s="63" t="s">
        <v>35</v>
      </c>
      <c r="D15" s="102" t="s">
        <v>4</v>
      </c>
      <c r="E15" s="25" t="s">
        <v>8</v>
      </c>
      <c r="F15" s="25" t="s">
        <v>37</v>
      </c>
      <c r="G15" s="63" t="s">
        <v>38</v>
      </c>
      <c r="H15" s="63" t="s">
        <v>34</v>
      </c>
      <c r="I15" s="24" t="s">
        <v>31</v>
      </c>
      <c r="J15" s="63" t="s">
        <v>41</v>
      </c>
      <c r="K15" s="63" t="s">
        <v>12</v>
      </c>
      <c r="L15" s="63" t="s">
        <v>62</v>
      </c>
      <c r="M15" s="63" t="s">
        <v>40</v>
      </c>
      <c r="N15" s="63" t="s">
        <v>63</v>
      </c>
      <c r="O15" s="63" t="s">
        <v>39</v>
      </c>
      <c r="P15" s="83" t="s">
        <v>23</v>
      </c>
      <c r="Q15" s="63" t="s">
        <v>24</v>
      </c>
      <c r="R15" s="63" t="s">
        <v>25</v>
      </c>
      <c r="S15" s="91" t="s">
        <v>15</v>
      </c>
      <c r="T15" s="63" t="s">
        <v>14</v>
      </c>
      <c r="U15" s="83" t="s">
        <v>28</v>
      </c>
      <c r="V15" s="63" t="s">
        <v>29</v>
      </c>
      <c r="W15" s="63" t="s">
        <v>30</v>
      </c>
      <c r="X15" s="91" t="s">
        <v>26</v>
      </c>
      <c r="Y15" s="63" t="s">
        <v>27</v>
      </c>
      <c r="AA15" s="26" t="s">
        <v>5</v>
      </c>
      <c r="AB15" s="26" t="s">
        <v>32</v>
      </c>
    </row>
    <row r="16" spans="1:28" s="11" customFormat="1" ht="16.5" customHeight="1" x14ac:dyDescent="0.2">
      <c r="A16" s="100"/>
      <c r="B16" s="100"/>
      <c r="C16" s="95" t="s">
        <v>36</v>
      </c>
      <c r="D16" s="86"/>
      <c r="E16" s="86"/>
      <c r="F16" s="86"/>
      <c r="G16" s="86"/>
      <c r="H16" s="61">
        <f>IF(AB16&lt;&gt;"", AA16*AB16, AA16)</f>
        <v>0</v>
      </c>
      <c r="I16" s="86"/>
      <c r="J16" s="87"/>
      <c r="K16" s="61"/>
      <c r="L16" s="113"/>
      <c r="N16" s="113"/>
      <c r="O16" s="88">
        <f>H16*M16</f>
        <v>0</v>
      </c>
      <c r="P16" s="93"/>
      <c r="Q16" s="71"/>
      <c r="R16" s="75"/>
      <c r="S16" s="76"/>
      <c r="T16" s="78"/>
      <c r="U16" s="59"/>
      <c r="V16" s="71"/>
      <c r="W16" s="75"/>
      <c r="X16" s="76"/>
      <c r="Y16" s="78"/>
    </row>
    <row r="17" spans="1:25" s="11" customFormat="1" ht="16.5" customHeight="1" x14ac:dyDescent="0.2">
      <c r="A17" s="101"/>
      <c r="B17" s="101"/>
      <c r="C17" s="96" t="s">
        <v>36</v>
      </c>
      <c r="D17" s="23"/>
      <c r="E17" s="23"/>
      <c r="F17" s="23"/>
      <c r="G17" s="23"/>
      <c r="H17" s="61">
        <f>IF(AB17&lt;&gt;"", AA17*AB17, AA17)</f>
        <v>0</v>
      </c>
      <c r="I17" s="23"/>
      <c r="J17" s="84"/>
      <c r="K17" s="61"/>
      <c r="L17" s="113"/>
      <c r="M17" s="92"/>
      <c r="N17" s="113"/>
      <c r="O17" s="88">
        <f>H17*M17</f>
        <v>0</v>
      </c>
      <c r="P17" s="87"/>
      <c r="Q17" s="71"/>
      <c r="R17" s="75"/>
      <c r="S17" s="76"/>
      <c r="T17" s="78"/>
      <c r="U17" s="59"/>
      <c r="V17" s="71"/>
      <c r="W17" s="75"/>
      <c r="X17" s="76"/>
      <c r="Y17" s="78"/>
    </row>
    <row r="18" spans="1:25" s="11" customFormat="1" ht="16.5" customHeight="1" x14ac:dyDescent="0.2">
      <c r="A18" s="101"/>
      <c r="B18" s="101"/>
      <c r="C18" s="96" t="s">
        <v>36</v>
      </c>
      <c r="D18" s="23"/>
      <c r="E18" s="23"/>
      <c r="F18" s="23"/>
      <c r="G18" s="23"/>
      <c r="H18" s="61">
        <f>IF(AB18&lt;&gt;"", AA18*AB18, AA18)</f>
        <v>0</v>
      </c>
      <c r="I18" s="23"/>
      <c r="J18" s="85"/>
      <c r="K18" s="61"/>
      <c r="L18" s="113"/>
      <c r="M18" s="92"/>
      <c r="N18" s="113"/>
      <c r="O18" s="88">
        <f>H18*M18</f>
        <v>0</v>
      </c>
      <c r="P18" s="94"/>
      <c r="Q18" s="71"/>
      <c r="R18" s="75"/>
      <c r="S18" s="76"/>
      <c r="T18" s="78"/>
      <c r="U18" s="59"/>
      <c r="V18" s="71"/>
      <c r="W18" s="75"/>
      <c r="X18" s="76"/>
      <c r="Y18" s="78"/>
    </row>
    <row r="19" spans="1:25" x14ac:dyDescent="0.2">
      <c r="A19" s="90"/>
      <c r="B19" s="98"/>
      <c r="C19" s="98"/>
      <c r="D19" s="54"/>
      <c r="E19" s="54"/>
      <c r="F19" s="55"/>
      <c r="G19" s="55"/>
      <c r="H19" s="62">
        <f>SUM(H16:H18)</f>
        <v>0</v>
      </c>
      <c r="I19" s="55"/>
      <c r="J19" s="55"/>
      <c r="K19" s="62"/>
      <c r="L19" s="114"/>
      <c r="M19" s="72"/>
      <c r="N19" s="114"/>
      <c r="O19" s="64">
        <f>SUM(O16:O18)</f>
        <v>0</v>
      </c>
      <c r="P19" s="72"/>
      <c r="Q19" s="73"/>
      <c r="R19" s="73"/>
      <c r="S19" s="74"/>
      <c r="T19" s="77">
        <f>SUM(T16:T18)</f>
        <v>0</v>
      </c>
      <c r="U19" s="72"/>
      <c r="V19" s="73"/>
      <c r="W19" s="73"/>
      <c r="X19" s="74"/>
      <c r="Y19" s="77">
        <f>SUM(Y16:Y18)</f>
        <v>0</v>
      </c>
    </row>
    <row r="20" spans="1:25" customFormat="1" ht="13.7" customHeight="1" x14ac:dyDescent="0.2">
      <c r="A20" s="37" t="s">
        <v>0</v>
      </c>
      <c r="B20" s="53"/>
      <c r="C20" s="53"/>
      <c r="D20" s="28"/>
      <c r="E20" s="52" t="s">
        <v>1</v>
      </c>
      <c r="F20" s="28"/>
      <c r="G20" s="53"/>
      <c r="H20" s="30"/>
      <c r="I20" s="53"/>
      <c r="J20" s="53"/>
      <c r="K20" s="60"/>
      <c r="L20" s="60"/>
      <c r="M20" s="60"/>
      <c r="N20" s="60"/>
      <c r="O20" s="60"/>
      <c r="P20" s="60"/>
      <c r="Q20" s="60"/>
      <c r="R20" s="60"/>
      <c r="S20" s="70"/>
    </row>
    <row r="21" spans="1:25" customFormat="1" ht="12.95" customHeight="1" x14ac:dyDescent="0.2">
      <c r="A21" s="40"/>
      <c r="B21" s="56"/>
      <c r="C21" s="56"/>
      <c r="D21" s="41"/>
      <c r="E21" s="42"/>
      <c r="F21" s="41"/>
      <c r="G21" s="43"/>
      <c r="H21" s="27"/>
      <c r="I21" s="56"/>
      <c r="J21" s="56"/>
      <c r="K21" s="27"/>
      <c r="L21" s="27"/>
      <c r="M21" s="27"/>
      <c r="N21" s="27"/>
      <c r="O21" s="27"/>
      <c r="P21" s="27"/>
      <c r="Q21" s="27"/>
      <c r="R21" s="27"/>
      <c r="S21" s="66"/>
    </row>
    <row r="22" spans="1:25" customFormat="1" ht="12.95" customHeight="1" x14ac:dyDescent="0.2">
      <c r="A22" s="38"/>
      <c r="B22" s="27"/>
      <c r="C22" s="27"/>
      <c r="D22" s="31"/>
      <c r="E22" s="32"/>
      <c r="F22" s="31"/>
      <c r="G22" s="33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66"/>
    </row>
    <row r="23" spans="1:25" customFormat="1" ht="12.95" customHeight="1" x14ac:dyDescent="0.2">
      <c r="A23" s="38"/>
      <c r="B23" s="27"/>
      <c r="C23" s="27"/>
      <c r="D23" s="31"/>
      <c r="E23" s="32"/>
      <c r="F23" s="31"/>
      <c r="G23" s="33"/>
      <c r="H23" s="27"/>
      <c r="I23" s="27"/>
      <c r="J23" s="27"/>
      <c r="K23" s="27"/>
      <c r="L23" s="27"/>
      <c r="M23" s="27"/>
      <c r="N23" s="27"/>
      <c r="O23" s="27"/>
      <c r="P23" s="27"/>
      <c r="Q23" s="27"/>
      <c r="R23" s="27"/>
      <c r="S23" s="66"/>
    </row>
    <row r="24" spans="1:25" customFormat="1" ht="12.95" customHeight="1" x14ac:dyDescent="0.2">
      <c r="A24" s="38"/>
      <c r="B24" s="27"/>
      <c r="C24" s="27"/>
      <c r="D24" s="31"/>
      <c r="E24" s="32"/>
      <c r="F24" s="31"/>
      <c r="G24" s="33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66"/>
    </row>
    <row r="25" spans="1:25" customFormat="1" ht="9.75" customHeight="1" x14ac:dyDescent="0.2">
      <c r="A25" s="39"/>
      <c r="B25" s="30"/>
      <c r="C25" s="30"/>
      <c r="D25" s="44"/>
      <c r="E25" s="45"/>
      <c r="F25" s="44"/>
      <c r="G25" s="46"/>
      <c r="H25" s="30"/>
      <c r="I25" s="30"/>
      <c r="J25" s="30"/>
      <c r="K25" s="30"/>
      <c r="L25" s="27"/>
      <c r="M25" s="27"/>
      <c r="N25" s="27"/>
      <c r="O25" s="27"/>
      <c r="P25" s="30"/>
      <c r="Q25" s="30"/>
      <c r="R25" s="30"/>
      <c r="S25" s="67"/>
    </row>
    <row r="26" spans="1:25" customFormat="1" ht="12.95" customHeight="1" x14ac:dyDescent="0.2">
      <c r="A26" s="39"/>
      <c r="B26" s="30"/>
      <c r="C26" s="30"/>
      <c r="D26" s="29"/>
      <c r="E26" s="29"/>
      <c r="F26" s="29"/>
      <c r="G26" s="30"/>
      <c r="H26" s="27"/>
      <c r="I26" s="30"/>
      <c r="J26" s="30"/>
      <c r="K26" s="56"/>
      <c r="L26" s="56"/>
      <c r="M26" s="56"/>
      <c r="N26" s="56"/>
      <c r="O26" s="56"/>
      <c r="P26" s="56"/>
      <c r="Q26" s="56"/>
      <c r="R26" s="56"/>
      <c r="S26" s="65"/>
    </row>
    <row r="27" spans="1:25" customFormat="1" ht="12.95" customHeight="1" x14ac:dyDescent="0.2">
      <c r="A27" s="13"/>
      <c r="B27" s="15"/>
      <c r="C27" s="15"/>
      <c r="D27" s="14"/>
      <c r="E27" s="14"/>
      <c r="F27" s="14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</row>
    <row r="28" spans="1:25" customFormat="1" ht="12.95" customHeight="1" x14ac:dyDescent="0.2">
      <c r="A28" s="16"/>
      <c r="B28" s="99"/>
      <c r="C28" s="99"/>
      <c r="D28" s="17"/>
      <c r="E28" s="17"/>
      <c r="F28" s="17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</row>
    <row r="29" spans="1:25" ht="13.5" thickBot="1" x14ac:dyDescent="0.25"/>
    <row r="30" spans="1:25" ht="13.5" thickBot="1" x14ac:dyDescent="0.25">
      <c r="D30" s="104" t="s">
        <v>47</v>
      </c>
    </row>
    <row r="31" spans="1:25" x14ac:dyDescent="0.2">
      <c r="A31" s="63" t="s">
        <v>42</v>
      </c>
      <c r="B31" s="63" t="s">
        <v>43</v>
      </c>
      <c r="C31" s="63" t="s">
        <v>58</v>
      </c>
      <c r="D31" s="102" t="s">
        <v>59</v>
      </c>
      <c r="E31" s="25" t="s">
        <v>60</v>
      </c>
      <c r="F31" s="25" t="s">
        <v>61</v>
      </c>
      <c r="G31" s="63" t="s">
        <v>57</v>
      </c>
      <c r="H31" s="63" t="s">
        <v>34</v>
      </c>
      <c r="I31" s="24" t="s">
        <v>52</v>
      </c>
      <c r="J31" s="63" t="s">
        <v>53</v>
      </c>
      <c r="K31" s="63" t="s">
        <v>54</v>
      </c>
      <c r="L31" s="63" t="s">
        <v>64</v>
      </c>
      <c r="M31" s="63" t="s">
        <v>55</v>
      </c>
      <c r="N31" s="63" t="s">
        <v>65</v>
      </c>
      <c r="O31" s="63" t="s">
        <v>56</v>
      </c>
    </row>
    <row r="32" spans="1:25" x14ac:dyDescent="0.2">
      <c r="A32" s="100"/>
      <c r="B32" s="100"/>
      <c r="C32" s="95"/>
      <c r="D32" s="86"/>
      <c r="E32" s="86"/>
      <c r="F32" s="86"/>
      <c r="G32" s="86"/>
      <c r="H32" s="61">
        <f>IF(AB32&lt;&gt;"", AA32*AB32, AA32)</f>
        <v>0</v>
      </c>
      <c r="I32" s="86"/>
      <c r="J32" s="87"/>
      <c r="K32" s="61"/>
      <c r="L32" s="113"/>
      <c r="M32" s="11"/>
      <c r="N32" s="113"/>
      <c r="O32" s="88">
        <f>H32*M32</f>
        <v>0</v>
      </c>
    </row>
    <row r="33" spans="1:15" x14ac:dyDescent="0.2">
      <c r="A33" s="101"/>
      <c r="B33" s="101"/>
      <c r="C33" s="96"/>
      <c r="D33" s="23"/>
      <c r="E33" s="23"/>
      <c r="F33" s="23"/>
      <c r="G33" s="23"/>
      <c r="H33" s="61">
        <f>IF(AB33&lt;&gt;"", AA33*AB33, AA33)</f>
        <v>0</v>
      </c>
      <c r="I33" s="23"/>
      <c r="J33" s="84"/>
      <c r="K33" s="61"/>
      <c r="L33" s="113"/>
      <c r="M33" s="92"/>
      <c r="N33" s="113"/>
      <c r="O33" s="88">
        <f>H33*M33</f>
        <v>0</v>
      </c>
    </row>
    <row r="34" spans="1:15" x14ac:dyDescent="0.2">
      <c r="A34" s="101"/>
      <c r="B34" s="101"/>
      <c r="C34" s="96" t="s">
        <v>58</v>
      </c>
      <c r="D34" s="23"/>
      <c r="E34" s="23"/>
      <c r="F34" s="23"/>
      <c r="G34" s="23"/>
      <c r="H34" s="61">
        <f>IF(AB34&lt;&gt;"", AA34*AB34, AA34)</f>
        <v>0</v>
      </c>
      <c r="I34" s="23"/>
      <c r="J34" s="85"/>
      <c r="K34" s="61"/>
      <c r="L34" s="113"/>
      <c r="M34" s="92"/>
      <c r="N34" s="113"/>
      <c r="O34" s="88">
        <f>H34*M34</f>
        <v>0</v>
      </c>
    </row>
    <row r="35" spans="1:15" x14ac:dyDescent="0.2">
      <c r="A35" s="90"/>
      <c r="B35" s="98"/>
      <c r="C35" s="98"/>
      <c r="D35" s="54"/>
      <c r="E35" s="54"/>
      <c r="F35" s="55"/>
      <c r="G35" s="55"/>
      <c r="H35" s="62">
        <f>SUM(H32:H34)</f>
        <v>0</v>
      </c>
      <c r="I35" s="55"/>
      <c r="J35" s="55"/>
      <c r="K35" s="62"/>
      <c r="L35" s="114"/>
      <c r="M35" s="72"/>
      <c r="N35" s="114"/>
      <c r="O35" s="64">
        <f>SUM(O32:O34)</f>
        <v>0</v>
      </c>
    </row>
  </sheetData>
  <mergeCells count="1">
    <mergeCell ref="A2:D2"/>
  </mergeCells>
  <phoneticPr fontId="0" type="noConversion"/>
  <conditionalFormatting sqref="O16:O18 C16:M18 C32:M34">
    <cfRule type="expression" dxfId="7" priority="7">
      <formula>MOD(ROW(),2)=1</formula>
    </cfRule>
    <cfRule type="expression" dxfId="6" priority="8">
      <formula>MOD(ROW(),2)=0</formula>
    </cfRule>
  </conditionalFormatting>
  <conditionalFormatting sqref="O32:O34">
    <cfRule type="expression" dxfId="5" priority="5">
      <formula>MOD(ROW(),2)=1</formula>
    </cfRule>
    <cfRule type="expression" dxfId="4" priority="6">
      <formula>MOD(ROW(),2)=0</formula>
    </cfRule>
  </conditionalFormatting>
  <conditionalFormatting sqref="N16:N18">
    <cfRule type="expression" dxfId="3" priority="3">
      <formula>MOD(ROW(),2)=1</formula>
    </cfRule>
    <cfRule type="expression" dxfId="2" priority="4">
      <formula>MOD(ROW(),2)=0</formula>
    </cfRule>
  </conditionalFormatting>
  <conditionalFormatting sqref="N32:N34">
    <cfRule type="expression" dxfId="1" priority="1">
      <formula>MOD(ROW(),2)=1</formula>
    </cfRule>
    <cfRule type="expression" dxfId="0" priority="2">
      <formula>MOD(ROW(),2)=0</formula>
    </cfRule>
  </conditionalFormatting>
  <pageMargins left="0.46" right="0.36" top="0.57999999999999996" bottom="1" header="0.5" footer="0.5"/>
  <pageSetup paperSize="9" orientation="landscape" horizontalDpi="200" verticalDpi="200" r:id="rId1"/>
  <headerFooter alignWithMargins="0">
    <oddFooter>&amp;L&amp;BAltium Limited Confidential&amp;B&amp;C&amp;D&amp;RPage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CalculatePricing">
                <anchor moveWithCells="1" sizeWithCells="1">
                  <from>
                    <xdr:col>6</xdr:col>
                    <xdr:colOff>285750</xdr:colOff>
                    <xdr:row>2</xdr:row>
                    <xdr:rowOff>161925</xdr:rowOff>
                  </from>
                  <to>
                    <xdr:col>7</xdr:col>
                    <xdr:colOff>371475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heet1.ResizeRows">
                <anchor moveWithCells="1" sizeWithCells="1">
                  <from>
                    <xdr:col>6</xdr:col>
                    <xdr:colOff>285750</xdr:colOff>
                    <xdr:row>3</xdr:row>
                    <xdr:rowOff>200025</xdr:rowOff>
                  </from>
                  <to>
                    <xdr:col>7</xdr:col>
                    <xdr:colOff>638175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heet1.ToggleHideSupplier2" altText="Test">
                <anchor moveWithCells="1" sizeWithCells="1">
                  <from>
                    <xdr:col>6</xdr:col>
                    <xdr:colOff>190500</xdr:colOff>
                    <xdr:row>9</xdr:row>
                    <xdr:rowOff>57150</xdr:rowOff>
                  </from>
                  <to>
                    <xdr:col>7</xdr:col>
                    <xdr:colOff>638175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Sheet1.ToggleHideAssemManf" altText="Test">
                <anchor moveWithCells="1" sizeWithCells="1">
                  <from>
                    <xdr:col>6</xdr:col>
                    <xdr:colOff>219075</xdr:colOff>
                    <xdr:row>10</xdr:row>
                    <xdr:rowOff>133350</xdr:rowOff>
                  </from>
                  <to>
                    <xdr:col>7</xdr:col>
                    <xdr:colOff>638175</xdr:colOff>
                    <xdr:row>11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Sheet1.ToggleHideSupplier1" altText="Test">
                <anchor moveWithCells="1" sizeWithCells="1">
                  <from>
                    <xdr:col>6</xdr:col>
                    <xdr:colOff>190500</xdr:colOff>
                    <xdr:row>7</xdr:row>
                    <xdr:rowOff>114300</xdr:rowOff>
                  </from>
                  <to>
                    <xdr:col>7</xdr:col>
                    <xdr:colOff>638175</xdr:colOff>
                    <xdr:row>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0]!Sheet1.ToggleHelperInfo" altText="Test">
                <anchor moveWithCells="1" sizeWithCells="1">
                  <from>
                    <xdr:col>5</xdr:col>
                    <xdr:colOff>428625</xdr:colOff>
                    <xdr:row>7</xdr:row>
                    <xdr:rowOff>133350</xdr:rowOff>
                  </from>
                  <to>
                    <xdr:col>6</xdr:col>
                    <xdr:colOff>9525</xdr:colOff>
                    <xdr:row>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Microsoft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 pc</dc:creator>
  <cp:lastModifiedBy>mat pc</cp:lastModifiedBy>
  <cp:lastPrinted>2002-11-05T13:50:54Z</cp:lastPrinted>
  <dcterms:created xsi:type="dcterms:W3CDTF">2000-10-27T00:30:29Z</dcterms:created>
  <dcterms:modified xsi:type="dcterms:W3CDTF">2016-07-13T22:14:29Z</dcterms:modified>
</cp:coreProperties>
</file>